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nthly" sheetId="2" state="visible" r:id="rId4"/>
    <sheet name="Specialties" sheetId="3" state="visible" r:id="rId5"/>
    <sheet name="NHS Tru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<sst xmlns="http://schemas.openxmlformats.org/spreadsheetml/2006/main" count="304" uniqueCount="219">
  <si>
    <t xml:space="preserve">NHS England Elective Waiting List: KPI Summary</t>
  </si>
  <si>
    <t xml:space="preserve">Referral-to-treatment (RTT) incomplete pathways, April 2025 – March 2026</t>
  </si>
  <si>
    <t xml:space="preserve">Latest month</t>
  </si>
  <si>
    <t xml:space="preserve">Total waiting</t>
  </si>
  <si>
    <t xml:space="preserve">% within 18 weeks</t>
  </si>
  <si>
    <t xml:space="preserve">52+ week waiters</t>
  </si>
  <si>
    <t xml:space="preserve">Change in waiting list over the year</t>
  </si>
  <si>
    <t xml:space="preserve">Change in 52+ week waiters over the year</t>
  </si>
  <si>
    <t xml:space="preserve">Targets (inputs, edit if needed)</t>
  </si>
  <si>
    <t xml:space="preserve">Interim ambition, March 2026</t>
  </si>
  <si>
    <t xml:space="preserve">Source: NHS England 2025/26 planning guidance</t>
  </si>
  <si>
    <t xml:space="preserve">Constitutional standard</t>
  </si>
  <si>
    <t xml:space="preserve">Source: NHS Constitution (92% within 18 weeks)</t>
  </si>
  <si>
    <t xml:space="preserve">Gap to 92% standard (patients)</t>
  </si>
  <si>
    <t xml:space="preserve">Meets 65% interim ambition?</t>
  </si>
  <si>
    <t xml:space="preserve">Notes</t>
  </si>
  <si>
    <t xml:space="preserve">• Data: NHS England Consultant-led RTT Waiting Times, monthly 'Full CSV data file' (trust-submitted data).</t>
  </si>
  <si>
    <t xml:space="preserve">• Waiting list = incomplete pathways (Part_2). 'Total' specialty rows (C_999) excluded to avoid double counting.</t>
  </si>
  <si>
    <t xml:space="preserve">• % within 18 weeks = patients waiting 0-18 weeks / patients with a known clock start.</t>
  </si>
  <si>
    <t xml:space="preserve">• Figures exclude NHS England's estimates for trusts that did not submit, so totals can differ slightly from headline publications.</t>
  </si>
  <si>
    <t xml:space="preserve">• Built from SQL views exported from MySQL (see sql/ folder).</t>
  </si>
  <si>
    <t xml:space="preserve">Month</t>
  </si>
  <si>
    <t xml:space="preserve">Within 18 weeks</t>
  </si>
  <si>
    <t xml:space="preserve">Known clock start</t>
  </si>
  <si>
    <t xml:space="preserve">52+ weeks</t>
  </si>
  <si>
    <t xml:space="preserve">78+ weeks</t>
  </si>
  <si>
    <t xml:space="preserve">Change vs prev month</t>
  </si>
  <si>
    <t xml:space="preserve">Gap to 92% (pts)</t>
  </si>
  <si>
    <t xml:space="preserve">vs 65% ambition (pts)</t>
  </si>
  <si>
    <t xml:space="preserve">Specialties, March 2026</t>
  </si>
  <si>
    <t xml:space="preserve">Specialty</t>
  </si>
  <si>
    <t xml:space="preserve">% of list over 52 wks</t>
  </si>
  <si>
    <t xml:space="preserve">Share of all 52+ wk waits</t>
  </si>
  <si>
    <t xml:space="preserve">Trauma and Orthopaedic Service</t>
  </si>
  <si>
    <t xml:space="preserve">Other - Medical Services</t>
  </si>
  <si>
    <t xml:space="preserve">Ophthalmology Service</t>
  </si>
  <si>
    <t xml:space="preserve">Ear Nose and Throat Service</t>
  </si>
  <si>
    <t xml:space="preserve">Gynaecology Service</t>
  </si>
  <si>
    <t xml:space="preserve">Other - Surgical Services</t>
  </si>
  <si>
    <t xml:space="preserve">Urology Service</t>
  </si>
  <si>
    <t xml:space="preserve">General Surgery Service</t>
  </si>
  <si>
    <t xml:space="preserve">Cardiology Service</t>
  </si>
  <si>
    <t xml:space="preserve">Dermatology Service</t>
  </si>
  <si>
    <t xml:space="preserve">Gastroenterology Service</t>
  </si>
  <si>
    <t xml:space="preserve">Oral Surgery Service</t>
  </si>
  <si>
    <t xml:space="preserve">Other - Paediatric Services</t>
  </si>
  <si>
    <t xml:space="preserve">Neurology Service</t>
  </si>
  <si>
    <t xml:space="preserve">Respiratory Medicine Service</t>
  </si>
  <si>
    <t xml:space="preserve">Other - Other Services</t>
  </si>
  <si>
    <t xml:space="preserve">Rheumatology Service</t>
  </si>
  <si>
    <t xml:space="preserve">Plastic Surgery Service</t>
  </si>
  <si>
    <t xml:space="preserve">Neurosurgical Service</t>
  </si>
  <si>
    <t xml:space="preserve">General Internal Medicine Service</t>
  </si>
  <si>
    <t xml:space="preserve">Elderly Medicine Service</t>
  </si>
  <si>
    <t xml:space="preserve">Cardiothoracic Surgery Service</t>
  </si>
  <si>
    <t xml:space="preserve">Other - Mental Health Services</t>
  </si>
  <si>
    <t xml:space="preserve">Total</t>
  </si>
  <si>
    <t xml:space="preserve">NHS trusts with 20,000+ patients waiting, March 2026</t>
  </si>
  <si>
    <t xml:space="preserve">Rank</t>
  </si>
  <si>
    <t xml:space="preserve">Trust</t>
  </si>
  <si>
    <t xml:space="preserve">ICB</t>
  </si>
  <si>
    <t xml:space="preserve">Meets 65%?</t>
  </si>
  <si>
    <t xml:space="preserve">Moorfields Eye Hospital NHS Foundation Trust</t>
  </si>
  <si>
    <t xml:space="preserve">North Central London</t>
  </si>
  <si>
    <t xml:space="preserve">Royal Berkshire NHS Foundation Trust</t>
  </si>
  <si>
    <t xml:space="preserve">Buckinghamshire, Oxfordshire And Berkshire West</t>
  </si>
  <si>
    <t xml:space="preserve">Northumbria Healthcare NHS Foundation Trust</t>
  </si>
  <si>
    <t xml:space="preserve">North East And North Cumbria</t>
  </si>
  <si>
    <t xml:space="preserve">South Tyneside and Sunderland NHS Foundation Trust</t>
  </si>
  <si>
    <t xml:space="preserve">Homerton Healthcare NHS Foundation Trust</t>
  </si>
  <si>
    <t xml:space="preserve">North East London</t>
  </si>
  <si>
    <t xml:space="preserve">Harrogate and District NHS Foundation Trust</t>
  </si>
  <si>
    <t xml:space="preserve">Humber And North Yorkshire</t>
  </si>
  <si>
    <t xml:space="preserve">Maidstone and Tunbridge Wells NHS Trust</t>
  </si>
  <si>
    <t xml:space="preserve">Kent And Medway</t>
  </si>
  <si>
    <t xml:space="preserve">Calderdale and Huddersfield NHS Foundation Trust</t>
  </si>
  <si>
    <t xml:space="preserve">West Yorkshire</t>
  </si>
  <si>
    <t xml:space="preserve">Gloucestershire Hospitals NHS Foundation Trust</t>
  </si>
  <si>
    <t xml:space="preserve">Gloucestershire</t>
  </si>
  <si>
    <t xml:space="preserve">Royal Cornwall Hospitals NHS Trust</t>
  </si>
  <si>
    <t xml:space="preserve">Cornwall And The Isles Of Scilly</t>
  </si>
  <si>
    <t xml:space="preserve">Walsall Healthcare NHS Trust</t>
  </si>
  <si>
    <t xml:space="preserve">Black Country</t>
  </si>
  <si>
    <t xml:space="preserve">The Newcastle Upon Tyne Hospitals NHS Foundation Trust</t>
  </si>
  <si>
    <t xml:space="preserve">Salisbury NHS Foundation Trust</t>
  </si>
  <si>
    <t xml:space="preserve">Bath And North East Somerset, Swindon And Wiltshire</t>
  </si>
  <si>
    <t xml:space="preserve">University Hospitals of Morecambe Bay NHS Foundation Trust</t>
  </si>
  <si>
    <t xml:space="preserve">Lancashire And South Cumbria</t>
  </si>
  <si>
    <t xml:space="preserve">Whittington Health NHS Trust</t>
  </si>
  <si>
    <t xml:space="preserve">Croydon Health Services NHS Trust</t>
  </si>
  <si>
    <t xml:space="preserve">South West London</t>
  </si>
  <si>
    <t xml:space="preserve">Barnsley Hospital NHS Foundation Trust</t>
  </si>
  <si>
    <t xml:space="preserve">South Yorkshire</t>
  </si>
  <si>
    <t xml:space="preserve">North Bristol NHS Trust</t>
  </si>
  <si>
    <t xml:space="preserve">Bristol, North Somerset And South Gloucestershire</t>
  </si>
  <si>
    <t xml:space="preserve">North Tees and Hartlepool NHS Foundation Trust</t>
  </si>
  <si>
    <t xml:space="preserve">East Lancashire Hospitals NHS Trust</t>
  </si>
  <si>
    <t xml:space="preserve">The Rotherham NHS Foundation Trust</t>
  </si>
  <si>
    <t xml:space="preserve">Royal United Hospitals Bath NHS Foundation Trust</t>
  </si>
  <si>
    <t xml:space="preserve">Imperial College Healthcare NHS Trust</t>
  </si>
  <si>
    <t xml:space="preserve">North West London</t>
  </si>
  <si>
    <t xml:space="preserve">East and North Hertfordshire Teaching NHS Trust</t>
  </si>
  <si>
    <t xml:space="preserve">Hertfordshire And West Essex</t>
  </si>
  <si>
    <t xml:space="preserve">The Shrewsbury and Telford Hospital NHS Trust</t>
  </si>
  <si>
    <t xml:space="preserve">Shropshire, Telford And Wrekin</t>
  </si>
  <si>
    <t xml:space="preserve">South Warwickshire University NHS Foundation Trust</t>
  </si>
  <si>
    <t xml:space="preserve">Coventry And Warwickshire</t>
  </si>
  <si>
    <t xml:space="preserve">University Hospitals Birmingham NHS Foundation Trust</t>
  </si>
  <si>
    <t xml:space="preserve">Birmingham And Solihull</t>
  </si>
  <si>
    <t xml:space="preserve">Guy'S and St Thomas' NHS Foundation Trust</t>
  </si>
  <si>
    <t xml:space="preserve">South East London</t>
  </si>
  <si>
    <t xml:space="preserve">Kingston and Richmond NHS Foundation Trust</t>
  </si>
  <si>
    <t xml:space="preserve">University Hospitals Bristol and Weston NHS Foundation Trust</t>
  </si>
  <si>
    <t xml:space="preserve">West Hertfordshire Teaching Hospitals NHS Trust</t>
  </si>
  <si>
    <t xml:space="preserve">University Hospitals Dorset NHS Foundation Trust</t>
  </si>
  <si>
    <t xml:space="preserve">Dorset</t>
  </si>
  <si>
    <t xml:space="preserve">Leeds Teaching Hospitals NHS Trust</t>
  </si>
  <si>
    <t xml:space="preserve">Surrey and Sussex Healthcare NHS Trust</t>
  </si>
  <si>
    <t xml:space="preserve">Surrey Heartlands</t>
  </si>
  <si>
    <t xml:space="preserve">Mid Yorkshire Teaching NHS Trust</t>
  </si>
  <si>
    <t xml:space="preserve">County Durham and Darlington NHS Foundation Trust</t>
  </si>
  <si>
    <t xml:space="preserve">Epsom and St Helier University Hospitals NHS Trust</t>
  </si>
  <si>
    <t xml:space="preserve">Torbay and South Devon NHS Foundation Trust</t>
  </si>
  <si>
    <t xml:space="preserve">Devon</t>
  </si>
  <si>
    <t xml:space="preserve">King'S College Hospital NHS Foundation Trust</t>
  </si>
  <si>
    <t xml:space="preserve">East Sussex Healthcare NHS Trust</t>
  </si>
  <si>
    <t xml:space="preserve">Sussex</t>
  </si>
  <si>
    <t xml:space="preserve">Mersey and West Lancashire Teaching Hospitals NHS Trust</t>
  </si>
  <si>
    <t xml:space="preserve">Cheshire And Merseyside</t>
  </si>
  <si>
    <t xml:space="preserve">Bradford Teaching Hospitals NHS Foundation Trust</t>
  </si>
  <si>
    <t xml:space="preserve">Chelsea and Westminster Hospital NHS Foundation Trust</t>
  </si>
  <si>
    <t xml:space="preserve">Barking, Havering and Redbridge University Hospitals NHS Trust</t>
  </si>
  <si>
    <t xml:space="preserve">West Suffolk NHS Foundation Trust</t>
  </si>
  <si>
    <t xml:space="preserve">Suffolk And North East Essex</t>
  </si>
  <si>
    <t xml:space="preserve">University Hospitals Plymouth NHS Trust</t>
  </si>
  <si>
    <t xml:space="preserve">Buckinghamshire Healthcare NHS Trust</t>
  </si>
  <si>
    <t xml:space="preserve">Somerset NHS Foundation Trust</t>
  </si>
  <si>
    <t xml:space="preserve">Somerset</t>
  </si>
  <si>
    <t xml:space="preserve">Wye Valley NHS Trust</t>
  </si>
  <si>
    <t xml:space="preserve">Herefordshire And Worcestershire</t>
  </si>
  <si>
    <t xml:space="preserve">Warrington and Halton Teaching Hospitals NHS Foundation Trust</t>
  </si>
  <si>
    <t xml:space="preserve">South Tees Hospitals NHS Foundation Trust</t>
  </si>
  <si>
    <t xml:space="preserve">Royal Free London NHS Foundation Trust</t>
  </si>
  <si>
    <t xml:space="preserve">Lewisham and Greenwich NHS Trust</t>
  </si>
  <si>
    <t xml:space="preserve">University Hospitals of North Midlands NHS Trust</t>
  </si>
  <si>
    <t xml:space="preserve">Staffordshire And Stoke-On-Trent</t>
  </si>
  <si>
    <t xml:space="preserve">Wirral University Teaching Hospital NHS Foundation Trust</t>
  </si>
  <si>
    <t xml:space="preserve">Hampshire Hospitals NHS Foundation Trust</t>
  </si>
  <si>
    <t xml:space="preserve">Hampshire And Isle Of Wight</t>
  </si>
  <si>
    <t xml:space="preserve">Royal Surrey NHS Foundation Trust</t>
  </si>
  <si>
    <t xml:space="preserve">North Cumbria Integrated Care NHS Foundation Trust</t>
  </si>
  <si>
    <t xml:space="preserve">Kettering General Hospital NHS Foundation Trust</t>
  </si>
  <si>
    <t xml:space="preserve">Northamptonshire</t>
  </si>
  <si>
    <t xml:space="preserve">Countess of Chester Hospital NHS Foundation Trust</t>
  </si>
  <si>
    <t xml:space="preserve">The Princess Alexandra Hospital NHS Trust</t>
  </si>
  <si>
    <t xml:space="preserve">The Dudley Group NHS Foundation Trust</t>
  </si>
  <si>
    <t xml:space="preserve">London North West University Healthcare NHS Trust</t>
  </si>
  <si>
    <t xml:space="preserve">Norfolk and Norwich University Hospitals NHS Foundation Trust</t>
  </si>
  <si>
    <t xml:space="preserve">Norfolk And Waveney</t>
  </si>
  <si>
    <t xml:space="preserve">The Hillingdon Hospitals NHS Foundation Trust</t>
  </si>
  <si>
    <t xml:space="preserve">Sherwood Forest Hospitals NHS Foundation Trust</t>
  </si>
  <si>
    <t xml:space="preserve">Nottingham And Nottinghamshire</t>
  </si>
  <si>
    <t xml:space="preserve">Nottingham University Hospitals NHS Trust</t>
  </si>
  <si>
    <t xml:space="preserve">University Hospital Southampton NHS Foundation Trust</t>
  </si>
  <si>
    <t xml:space="preserve">St George'S University Hospitals NHS Foundation Trust</t>
  </si>
  <si>
    <t xml:space="preserve">University College London Hospitals NHS Foundation Trust</t>
  </si>
  <si>
    <t xml:space="preserve">Sandwell and West Birmingham Hospitals NHS Trust</t>
  </si>
  <si>
    <t xml:space="preserve">Manchester University NHS Foundation Trust</t>
  </si>
  <si>
    <t xml:space="preserve">Greater Manchester</t>
  </si>
  <si>
    <t xml:space="preserve">Oxford University Hospitals NHS Foundation Trust</t>
  </si>
  <si>
    <t xml:space="preserve">Cambridge University Hospitals NHS Foundation Trust</t>
  </si>
  <si>
    <t xml:space="preserve">Cambridgeshire And Peterborough</t>
  </si>
  <si>
    <t xml:space="preserve">Royal Devon University Healthcare NHS Foundation Trust</t>
  </si>
  <si>
    <t xml:space="preserve">Dorset County Hospital NHS Foundation Trust</t>
  </si>
  <si>
    <t xml:space="preserve">Worcestershire Acute Hospitals NHS Trust</t>
  </si>
  <si>
    <t xml:space="preserve">Milton Keynes University Hospital NHS Foundation Trust</t>
  </si>
  <si>
    <t xml:space="preserve">Bedfordshire, Luton And Milton Keynes</t>
  </si>
  <si>
    <t xml:space="preserve">Mid Cheshire Hospitals NHS Foundation Trust</t>
  </si>
  <si>
    <t xml:space="preserve">Barts Health NHS Trust</t>
  </si>
  <si>
    <t xml:space="preserve">Liverpool University Hospitals NHS Foundation Trust</t>
  </si>
  <si>
    <t xml:space="preserve">Birmingham Women'S and Children'S NHS Foundation Trust</t>
  </si>
  <si>
    <t xml:space="preserve">Bolton NHS Foundation Trust</t>
  </si>
  <si>
    <t xml:space="preserve">Bedfordshire Hospitals NHS Foundation Trust</t>
  </si>
  <si>
    <t xml:space="preserve">Stockport NHS Foundation Trust</t>
  </si>
  <si>
    <t xml:space="preserve">Medway NHS Foundation Trust</t>
  </si>
  <si>
    <t xml:space="preserve">University Hospitals of Derby and Burton NHS Foundation Trust</t>
  </si>
  <si>
    <t xml:space="preserve">Derby And Derbyshire</t>
  </si>
  <si>
    <t xml:space="preserve">Ashford and St Peter'S Hospitals NHS Foundation Trust</t>
  </si>
  <si>
    <t xml:space="preserve">Queen Victoria Hospital NHS Foundation Trust</t>
  </si>
  <si>
    <t xml:space="preserve">Doncaster and Bassetlaw Teaching Hospitals NHS Foundation Trust</t>
  </si>
  <si>
    <t xml:space="preserve">Chesterfield Royal Hospital NHS Foundation Trust</t>
  </si>
  <si>
    <t xml:space="preserve">Northern Lincolnshire and Goole NHS Foundation Trust</t>
  </si>
  <si>
    <t xml:space="preserve">Blackpool Teaching Hospitals NHS Foundation Trust</t>
  </si>
  <si>
    <t xml:space="preserve">Portsmouth Hospitals University NHS Trust</t>
  </si>
  <si>
    <t xml:space="preserve">Dartford and Gravesham NHS Trust</t>
  </si>
  <si>
    <t xml:space="preserve">North West Anglia NHS Foundation Trust</t>
  </si>
  <si>
    <t xml:space="preserve">Wrightington, Wigan and Leigh Teaching Hospitals NHS Foundation Trust</t>
  </si>
  <si>
    <t xml:space="preserve">Frimley Health NHS Foundation Trust</t>
  </si>
  <si>
    <t xml:space="preserve">Frimley</t>
  </si>
  <si>
    <t xml:space="preserve">Northampton General Hospital NHS Trust</t>
  </si>
  <si>
    <t xml:space="preserve">United Lincolnshire Teaching Hospitals NHS Trust</t>
  </si>
  <si>
    <t xml:space="preserve">Lincolnshire</t>
  </si>
  <si>
    <t xml:space="preserve">The Royal Wolverhampton NHS Trust</t>
  </si>
  <si>
    <t xml:space="preserve">East Suffolk and North Essex NHS Foundation Trust</t>
  </si>
  <si>
    <t xml:space="preserve">Lancashire Teaching Hospitals NHS Foundation Trust</t>
  </si>
  <si>
    <t xml:space="preserve">University Hospitals Coventry and Warwickshire NHS Trust</t>
  </si>
  <si>
    <t xml:space="preserve">University Hospitals of Leicester NHS Trust</t>
  </si>
  <si>
    <t xml:space="preserve">Leicester, Leicestershire And Rutland</t>
  </si>
  <si>
    <t xml:space="preserve">Northern Care Alliance NHS Foundation Trust</t>
  </si>
  <si>
    <t xml:space="preserve">The Queen Elizabeth Hospital, King'S Lynn, NHS Foundation Trust</t>
  </si>
  <si>
    <t xml:space="preserve">Great Western Hospitals NHS Foundation Trust</t>
  </si>
  <si>
    <t xml:space="preserve">York and Scarborough Teaching Hospitals NHS Foundation Trust</t>
  </si>
  <si>
    <t xml:space="preserve">East Kent Hospitals University NHS Foundation Trust</t>
  </si>
  <si>
    <t xml:space="preserve">Hull University Teaching Hospitals NHS Trust</t>
  </si>
  <si>
    <t xml:space="preserve">James Paget University Hospitals NHS Foundation Trust</t>
  </si>
  <si>
    <t xml:space="preserve">University Hospitals Sussex NHS Foundation Trust</t>
  </si>
  <si>
    <t xml:space="preserve">The Robert Jones and Agnes Hunt Orthopaedic Hospital NHS Foundation Trust</t>
  </si>
  <si>
    <t xml:space="preserve">Mid and South Essex NHS Foundation Trust</t>
  </si>
  <si>
    <t xml:space="preserve">Mid And South Essex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</si>
</sst>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 yyyy"/>
    <numFmt numFmtId="166" formatCode="#,##0"/>
    <numFmt numFmtId="167" formatCode="0.0%"/>
    <numFmt numFmtId="168" formatCode="#,##0;\(#,##0\);\-"/>
    <numFmt numFmtId="169" formatCode="0.0%;\(0.0%\);\-"/>
    <numFmt numFmtId="170" formatCode="0%"/>
    <numFmt numFmtId="171" formatCode="0.0"/>
    <numFmt numFmtId="172" formatCode="0.0;\(0.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C00000"/>
      </font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Patients waiting (England)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Monthly!B1</c:f>
              <c:strCache>
                <c:ptCount val="1"/>
                <c:pt idx="0">
                  <c:v>Total waiting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Monthly!$A$2:$A$13</c:f>
              <c:strCache>
                <c:ptCount val="12"/>
                <c:pt idx="0">
                  <c:v>Apr 2025</c:v>
                </c:pt>
                <c:pt idx="1">
                  <c:v>May 2025</c:v>
                </c:pt>
                <c:pt idx="2">
                  <c:v>Jun 2025</c:v>
                </c:pt>
                <c:pt idx="3">
                  <c:v>Jul 2025</c:v>
                </c:pt>
                <c:pt idx="4">
                  <c:v>Aug 2025</c:v>
                </c:pt>
                <c:pt idx="5">
                  <c:v>Sep 2025</c:v>
                </c:pt>
                <c:pt idx="6">
                  <c:v>Oct 2025</c:v>
                </c:pt>
                <c:pt idx="7">
                  <c:v>Nov 2025</c:v>
                </c:pt>
                <c:pt idx="8">
                  <c:v>Dec 2025</c:v>
                </c:pt>
                <c:pt idx="9">
                  <c:v>Jan 2026</c:v>
                </c:pt>
                <c:pt idx="10">
                  <c:v>Feb 2026</c:v>
                </c:pt>
                <c:pt idx="11">
                  <c:v>Mar 2026</c:v>
                </c:pt>
              </c:strCache>
            </c:strRef>
          </c:cat>
          <c:val>
            <c:numRef>
              <c:f>Monthly!$B$2:$B$13</c:f>
              <c:numCache>
                <c:formatCode>#,##0</c:formatCode>
                <c:ptCount val="12"/>
                <c:pt idx="0">
                  <c:v>7421453</c:v>
                </c:pt>
                <c:pt idx="1">
                  <c:v>7388277</c:v>
                </c:pt>
                <c:pt idx="2">
                  <c:v>7400275</c:v>
                </c:pt>
                <c:pt idx="3">
                  <c:v>7334286</c:v>
                </c:pt>
                <c:pt idx="4">
                  <c:v>7345544</c:v>
                </c:pt>
                <c:pt idx="5">
                  <c:v>7329574</c:v>
                </c:pt>
                <c:pt idx="6">
                  <c:v>7337076</c:v>
                </c:pt>
                <c:pt idx="7">
                  <c:v>7191310</c:v>
                </c:pt>
                <c:pt idx="8">
                  <c:v>7231880</c:v>
                </c:pt>
                <c:pt idx="9">
                  <c:v>7187677</c:v>
                </c:pt>
                <c:pt idx="10">
                  <c:v>7156212</c:v>
                </c:pt>
                <c:pt idx="11">
                  <c:v>7045510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216328"/>
        <c:axId val="96895078"/>
      </c:lineChart>
      <c:catAx>
        <c:axId val="28216328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895078"/>
        <c:crosses val="autoZero"/>
        <c:auto val="1"/>
        <c:lblAlgn val="ctr"/>
        <c:lblOffset val="100"/>
        <c:noMultiLvlLbl val="0"/>
      </c:catAx>
      <c:valAx>
        <c:axId val="96895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Patients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163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within 18 weeks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Monthly!G1</c:f>
              <c:strCache>
                <c:ptCount val="1"/>
                <c:pt idx="0">
                  <c:v>% within 18 weeks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Monthly!$A$2:$A$13</c:f>
              <c:strCache>
                <c:ptCount val="12"/>
                <c:pt idx="0">
                  <c:v>Apr 2025</c:v>
                </c:pt>
                <c:pt idx="1">
                  <c:v>May 2025</c:v>
                </c:pt>
                <c:pt idx="2">
                  <c:v>Jun 2025</c:v>
                </c:pt>
                <c:pt idx="3">
                  <c:v>Jul 2025</c:v>
                </c:pt>
                <c:pt idx="4">
                  <c:v>Aug 2025</c:v>
                </c:pt>
                <c:pt idx="5">
                  <c:v>Sep 2025</c:v>
                </c:pt>
                <c:pt idx="6">
                  <c:v>Oct 2025</c:v>
                </c:pt>
                <c:pt idx="7">
                  <c:v>Nov 2025</c:v>
                </c:pt>
                <c:pt idx="8">
                  <c:v>Dec 2025</c:v>
                </c:pt>
                <c:pt idx="9">
                  <c:v>Jan 2026</c:v>
                </c:pt>
                <c:pt idx="10">
                  <c:v>Feb 2026</c:v>
                </c:pt>
                <c:pt idx="11">
                  <c:v>Mar 2026</c:v>
                </c:pt>
              </c:strCache>
            </c:strRef>
          </c:cat>
          <c:val>
            <c:numRef>
              <c:f>Monthly!$G$2:$G$13</c:f>
              <c:numCache>
                <c:formatCode>0.0%</c:formatCode>
                <c:ptCount val="12"/>
                <c:pt idx="0">
                  <c:v>0.596958708759592</c:v>
                </c:pt>
                <c:pt idx="1">
                  <c:v>0.608944142186331</c:v>
                </c:pt>
                <c:pt idx="2">
                  <c:v>0.614854312846482</c:v>
                </c:pt>
                <c:pt idx="3">
                  <c:v>0.61174121107358</c:v>
                </c:pt>
                <c:pt idx="4">
                  <c:v>0.609289931419647</c:v>
                </c:pt>
                <c:pt idx="5">
                  <c:v>0.617043773621768</c:v>
                </c:pt>
                <c:pt idx="6">
                  <c:v>0.616576140140841</c:v>
                </c:pt>
                <c:pt idx="7">
                  <c:v>0.615937151923641</c:v>
                </c:pt>
                <c:pt idx="8">
                  <c:v>0.614030376610231</c:v>
                </c:pt>
                <c:pt idx="9">
                  <c:v>0.613848813740517</c:v>
                </c:pt>
                <c:pt idx="10">
                  <c:v>0.624962619888846</c:v>
                </c:pt>
                <c:pt idx="11">
                  <c:v>0.652418632575924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076690"/>
        <c:axId val="16205973"/>
      </c:lineChart>
      <c:catAx>
        <c:axId val="15076690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05973"/>
        <c:crosses val="autoZero"/>
        <c:auto val="1"/>
        <c:lblAlgn val="ctr"/>
        <c:lblOffset val="100"/>
        <c:noMultiLvlLbl val="0"/>
      </c:catAx>
      <c:valAx>
        <c:axId val="16205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766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52+ week waiters by specialty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Specialties!E3</c:f>
              <c:strCache>
                <c:ptCount val="1"/>
                <c:pt idx="0">
                  <c:v>52+ weeks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Specialties!$A$4:$A$26</c:f>
              <c:strCache>
                <c:ptCount val="23"/>
                <c:pt idx="0">
                  <c:v>Trauma and Orthopaedic Service</c:v>
                </c:pt>
                <c:pt idx="1">
                  <c:v>Other - Medical Services</c:v>
                </c:pt>
                <c:pt idx="2">
                  <c:v>Ophthalmology Service</c:v>
                </c:pt>
                <c:pt idx="3">
                  <c:v>Ear Nose and Throat Service</c:v>
                </c:pt>
                <c:pt idx="4">
                  <c:v>Gynaecology Service</c:v>
                </c:pt>
                <c:pt idx="5">
                  <c:v>Other - Surgical Services</c:v>
                </c:pt>
                <c:pt idx="6">
                  <c:v>Urology Service</c:v>
                </c:pt>
                <c:pt idx="7">
                  <c:v>General Surgery Service</c:v>
                </c:pt>
                <c:pt idx="8">
                  <c:v>Cardiology Service</c:v>
                </c:pt>
                <c:pt idx="9">
                  <c:v>Dermatology Service</c:v>
                </c:pt>
                <c:pt idx="10">
                  <c:v>Gastroenterology Service</c:v>
                </c:pt>
                <c:pt idx="11">
                  <c:v>Oral Surgery Service</c:v>
                </c:pt>
                <c:pt idx="12">
                  <c:v>Other - Paediatric Services</c:v>
                </c:pt>
                <c:pt idx="13">
                  <c:v>Neurology Service</c:v>
                </c:pt>
                <c:pt idx="14">
                  <c:v>Respiratory Medicine Service</c:v>
                </c:pt>
                <c:pt idx="15">
                  <c:v>Other - Other Services</c:v>
                </c:pt>
                <c:pt idx="16">
                  <c:v>Rheumatology Service</c:v>
                </c:pt>
                <c:pt idx="17">
                  <c:v>Plastic Surgery Service</c:v>
                </c:pt>
                <c:pt idx="18">
                  <c:v>Neurosurgical Service</c:v>
                </c:pt>
                <c:pt idx="19">
                  <c:v>General Internal Medicine Service</c:v>
                </c:pt>
                <c:pt idx="20">
                  <c:v>Elderly Medicine Service</c:v>
                </c:pt>
                <c:pt idx="21">
                  <c:v>Cardiothoracic Surgery Service</c:v>
                </c:pt>
                <c:pt idx="22">
                  <c:v>Other - Mental Health Services</c:v>
                </c:pt>
              </c:strCache>
            </c:strRef>
          </c:cat>
          <c:val>
            <c:numRef>
              <c:f>Specialties!$E$4:$E$26</c:f>
              <c:numCache>
                <c:formatCode>#,##0</c:formatCode>
                <c:ptCount val="23"/>
                <c:pt idx="0">
                  <c:v>18999</c:v>
                </c:pt>
                <c:pt idx="1">
                  <c:v>3897</c:v>
                </c:pt>
                <c:pt idx="2">
                  <c:v>4424</c:v>
                </c:pt>
                <c:pt idx="3">
                  <c:v>12596</c:v>
                </c:pt>
                <c:pt idx="4">
                  <c:v>10033</c:v>
                </c:pt>
                <c:pt idx="5">
                  <c:v>5642</c:v>
                </c:pt>
                <c:pt idx="6">
                  <c:v>5112</c:v>
                </c:pt>
                <c:pt idx="7">
                  <c:v>5927</c:v>
                </c:pt>
                <c:pt idx="8">
                  <c:v>2892</c:v>
                </c:pt>
                <c:pt idx="9">
                  <c:v>3653</c:v>
                </c:pt>
                <c:pt idx="10">
                  <c:v>2925</c:v>
                </c:pt>
                <c:pt idx="11">
                  <c:v>7091</c:v>
                </c:pt>
                <c:pt idx="12">
                  <c:v>3908</c:v>
                </c:pt>
                <c:pt idx="13">
                  <c:v>2075</c:v>
                </c:pt>
                <c:pt idx="14">
                  <c:v>665</c:v>
                </c:pt>
                <c:pt idx="15">
                  <c:v>1282</c:v>
                </c:pt>
                <c:pt idx="16">
                  <c:v>755</c:v>
                </c:pt>
                <c:pt idx="17">
                  <c:v>2464</c:v>
                </c:pt>
                <c:pt idx="18">
                  <c:v>776</c:v>
                </c:pt>
                <c:pt idx="19">
                  <c:v>432</c:v>
                </c:pt>
                <c:pt idx="20">
                  <c:v>156</c:v>
                </c:pt>
                <c:pt idx="21">
                  <c:v>117</c:v>
                </c:pt>
                <c:pt idx="22">
                  <c:v>3</c:v>
                </c:pt>
              </c:numCache>
            </c:numRef>
          </c:val>
        </c:ser>
        <c:gapWidth val="150"/>
        <c:overlap val="0"/>
        <c:axId val="45682999"/>
        <c:axId val="56025621"/>
      </c:barChart>
      <c:catAx>
        <c:axId val="4568299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25621"/>
        <c:crosses val="autoZero"/>
        <c:auto val="1"/>
        <c:lblAlgn val="ctr"/>
        <c:lblOffset val="100"/>
        <c:noMultiLvlLbl val="0"/>
      </c:catAx>
      <c:valAx>
        <c:axId val="560256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829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0</xdr:row>
      <xdr:rowOff>190440</xdr:rowOff>
    </xdr:from>
    <xdr:to>
      <xdr:col>20</xdr:col>
      <xdr:colOff>256320</xdr:colOff>
      <xdr:row>12</xdr:row>
      <xdr:rowOff>112320</xdr:rowOff>
    </xdr:to>
    <xdr:graphicFrame>
      <xdr:nvGraphicFramePr>
        <xdr:cNvPr id="0" name="Chart 1"/>
        <xdr:cNvGraphicFramePr/>
      </xdr:nvGraphicFramePr>
      <xdr:xfrm>
        <a:off x="9704160" y="19044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14</xdr:row>
      <xdr:rowOff>69480</xdr:rowOff>
    </xdr:from>
    <xdr:to>
      <xdr:col>20</xdr:col>
      <xdr:colOff>256320</xdr:colOff>
      <xdr:row>27</xdr:row>
      <xdr:rowOff>112320</xdr:rowOff>
    </xdr:to>
    <xdr:graphicFrame>
      <xdr:nvGraphicFramePr>
        <xdr:cNvPr id="1" name="Chart 2"/>
        <xdr:cNvGraphicFramePr/>
      </xdr:nvGraphicFramePr>
      <xdr:xfrm>
        <a:off x="9704160" y="304812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175680</xdr:rowOff>
    </xdr:from>
    <xdr:to>
      <xdr:col>18</xdr:col>
      <xdr:colOff>256320</xdr:colOff>
      <xdr:row>20</xdr:row>
      <xdr:rowOff>5400</xdr:rowOff>
    </xdr:to>
    <xdr:graphicFrame>
      <xdr:nvGraphicFramePr>
        <xdr:cNvPr id="2" name="Chart 1"/>
        <xdr:cNvGraphicFramePr/>
      </xdr:nvGraphicFramePr>
      <xdr:xfrm>
        <a:off x="9704160" y="3808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f aca="false">MAX(Monthly!A2:A13)</f>
        <v>46082</v>
      </c>
    </row>
    <row r="6" customFormat="false" ht="15" hidden="false" customHeight="false" outlineLevel="0" collapsed="false">
      <c r="B6" s="3" t="s">
        <v>3</v>
      </c>
      <c r="C6" s="5" t="n">
        <f aca="false">INDEX(Monthly!B2:B13,MATCH(C5,Monthly!A2:A13,0))</f>
        <v>7045510</v>
      </c>
    </row>
    <row r="7" customFormat="false" ht="15" hidden="false" customHeight="false" outlineLevel="0" collapsed="false">
      <c r="B7" s="3" t="s">
        <v>4</v>
      </c>
      <c r="C7" s="6" t="n">
        <f aca="false">INDEX(Monthly!G2:G13,MATCH(C5,Monthly!A2:A13,0))</f>
        <v>0.652418632575924</v>
      </c>
    </row>
    <row r="8" customFormat="false" ht="15" hidden="false" customHeight="false" outlineLevel="0" collapsed="false">
      <c r="B8" s="3" t="s">
        <v>5</v>
      </c>
      <c r="C8" s="5" t="n">
        <f aca="false">INDEX(Monthly!E2:E13,MATCH(C5,Monthly!A2:A13,0))</f>
        <v>95824</v>
      </c>
    </row>
    <row r="9" customFormat="false" ht="15" hidden="false" customHeight="false" outlineLevel="0" collapsed="false">
      <c r="B9" s="3" t="s">
        <v>6</v>
      </c>
      <c r="C9" s="7" t="n">
        <f aca="false">C6-Monthly!B2</f>
        <v>-375943</v>
      </c>
    </row>
    <row r="10" customFormat="false" ht="15" hidden="false" customHeight="false" outlineLevel="0" collapsed="false">
      <c r="B10" s="3" t="s">
        <v>7</v>
      </c>
      <c r="C10" s="8" t="n">
        <f aca="false">IF(Monthly!E2=0,0,C8/Monthly!E2-1)</f>
        <v>-0.502368093061903</v>
      </c>
    </row>
    <row r="11" customFormat="false" ht="15" hidden="false" customHeight="false" outlineLevel="0" collapsed="false">
      <c r="B11" s="9" t="s">
        <v>8</v>
      </c>
    </row>
    <row r="12" customFormat="false" ht="15" hidden="false" customHeight="false" outlineLevel="0" collapsed="false">
      <c r="B12" s="3" t="s">
        <v>9</v>
      </c>
      <c r="C12" s="10" t="n">
        <v>0.65</v>
      </c>
      <c r="D12" s="11" t="s">
        <v>10</v>
      </c>
    </row>
    <row r="13" customFormat="false" ht="15" hidden="false" customHeight="false" outlineLevel="0" collapsed="false">
      <c r="B13" s="3" t="s">
        <v>11</v>
      </c>
      <c r="C13" s="10" t="n">
        <v>0.92</v>
      </c>
      <c r="D13" s="11" t="s">
        <v>12</v>
      </c>
    </row>
    <row r="15" customFormat="false" ht="15" hidden="false" customHeight="false" outlineLevel="0" collapsed="false">
      <c r="B15" s="3" t="s">
        <v>13</v>
      </c>
      <c r="C15" s="5" t="n">
        <f aca="false">ROUNDUP(C13*INDEX(Monthly!D2:D13,MATCH(C5,Monthly!A2:A13,0)),0)-INDEX(Monthly!C2:C13,MATCH(C5,Monthly!A2:A13,0))</f>
        <v>1885248</v>
      </c>
    </row>
    <row r="16" customFormat="false" ht="15" hidden="false" customHeight="false" outlineLevel="0" collapsed="false">
      <c r="B16" s="3" t="s">
        <v>14</v>
      </c>
      <c r="C16" s="9" t="str">
        <f aca="false">IF(C7&gt;=C12,"Yes","No")</f>
        <v>Yes</v>
      </c>
    </row>
    <row r="18" customFormat="false" ht="15" hidden="false" customHeight="false" outlineLevel="0" collapsed="false">
      <c r="B18" s="9" t="s">
        <v>15</v>
      </c>
    </row>
    <row r="19" customFormat="false" ht="15" hidden="false" customHeight="false" outlineLevel="0" collapsed="false">
      <c r="B19" s="11" t="s">
        <v>16</v>
      </c>
    </row>
    <row r="20" customFormat="false" ht="15" hidden="false" customHeight="false" outlineLevel="0" collapsed="false">
      <c r="B20" s="11" t="s">
        <v>17</v>
      </c>
    </row>
    <row r="21" customFormat="false" ht="15" hidden="false" customHeight="false" outlineLevel="0" collapsed="false">
      <c r="B21" s="11" t="s">
        <v>18</v>
      </c>
    </row>
    <row r="22" customFormat="false" ht="15" hidden="false" customHeight="false" outlineLevel="0" collapsed="false">
      <c r="B22" s="11" t="s">
        <v>19</v>
      </c>
    </row>
    <row r="23" customFormat="false" ht="15" hidden="false" customHeight="false" outlineLevel="0" collapsed="false">
      <c r="B23" s="1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9.55" hidden="false" customHeight="false" outlineLevel="0" collapsed="false">
      <c r="A1" s="12" t="s">
        <v>21</v>
      </c>
      <c r="B1" s="12" t="s">
        <v>3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4</v>
      </c>
      <c r="H1" s="12" t="s">
        <v>26</v>
      </c>
      <c r="I1" s="12" t="s">
        <v>27</v>
      </c>
      <c r="J1" s="12" t="s">
        <v>28</v>
      </c>
    </row>
    <row r="2" customFormat="false" ht="15" hidden="false" customHeight="false" outlineLevel="0" collapsed="false">
      <c r="A2" s="13" t="n">
        <v>45748</v>
      </c>
      <c r="B2" s="14" t="n">
        <v>7421453</v>
      </c>
      <c r="C2" s="14" t="n">
        <v>4430301</v>
      </c>
      <c r="D2" s="14" t="n">
        <v>7421453</v>
      </c>
      <c r="E2" s="14" t="n">
        <v>192560</v>
      </c>
      <c r="F2" s="14" t="n">
        <v>2055</v>
      </c>
      <c r="G2" s="15" t="n">
        <f aca="false">IF(D2=0,0,C2/D2)</f>
        <v>0.596958708759592</v>
      </c>
      <c r="H2" s="16"/>
      <c r="I2" s="17" t="n">
        <f aca="false">(Summary!$C$13-G2)*100</f>
        <v>32.3041291240408</v>
      </c>
      <c r="J2" s="18" t="n">
        <f aca="false">(G2-Summary!$C$12)*100</f>
        <v>-5.3041291240408</v>
      </c>
    </row>
    <row r="3" customFormat="false" ht="15" hidden="false" customHeight="false" outlineLevel="0" collapsed="false">
      <c r="A3" s="13" t="n">
        <v>45778</v>
      </c>
      <c r="B3" s="14" t="n">
        <v>7388277</v>
      </c>
      <c r="C3" s="14" t="n">
        <v>4499048</v>
      </c>
      <c r="D3" s="14" t="n">
        <v>7388277</v>
      </c>
      <c r="E3" s="14" t="n">
        <v>199590</v>
      </c>
      <c r="F3" s="14" t="n">
        <v>2019</v>
      </c>
      <c r="G3" s="15" t="n">
        <f aca="false">IF(D3=0,0,C3/D3)</f>
        <v>0.608944142186331</v>
      </c>
      <c r="H3" s="16" t="n">
        <f aca="false">B3-B2</f>
        <v>-33176</v>
      </c>
      <c r="I3" s="17" t="n">
        <f aca="false">(Summary!$C$13-G3)*100</f>
        <v>31.1055857813669</v>
      </c>
      <c r="J3" s="18" t="n">
        <f aca="false">(G3-Summary!$C$12)*100</f>
        <v>-4.10558578136689</v>
      </c>
    </row>
    <row r="4" customFormat="false" ht="15" hidden="false" customHeight="false" outlineLevel="0" collapsed="false">
      <c r="A4" s="13" t="n">
        <v>45809</v>
      </c>
      <c r="B4" s="14" t="n">
        <v>7400275</v>
      </c>
      <c r="C4" s="14" t="n">
        <v>4550091</v>
      </c>
      <c r="D4" s="14" t="n">
        <v>7400275</v>
      </c>
      <c r="E4" s="14" t="n">
        <v>194715</v>
      </c>
      <c r="F4" s="14" t="n">
        <v>1890</v>
      </c>
      <c r="G4" s="15" t="n">
        <f aca="false">IF(D4=0,0,C4/D4)</f>
        <v>0.614854312846482</v>
      </c>
      <c r="H4" s="16" t="n">
        <f aca="false">B4-B3</f>
        <v>11998</v>
      </c>
      <c r="I4" s="17" t="n">
        <f aca="false">(Summary!$C$13-G4)*100</f>
        <v>30.5145687153518</v>
      </c>
      <c r="J4" s="18" t="n">
        <f aca="false">(G4-Summary!$C$12)*100</f>
        <v>-3.5145687153518</v>
      </c>
    </row>
    <row r="5" customFormat="false" ht="15" hidden="false" customHeight="false" outlineLevel="0" collapsed="false">
      <c r="A5" s="13" t="n">
        <v>45839</v>
      </c>
      <c r="B5" s="14" t="n">
        <v>7334286</v>
      </c>
      <c r="C5" s="14" t="n">
        <v>4486685</v>
      </c>
      <c r="D5" s="14" t="n">
        <v>7334286</v>
      </c>
      <c r="E5" s="14" t="n">
        <v>192769</v>
      </c>
      <c r="F5" s="14" t="n">
        <v>2320</v>
      </c>
      <c r="G5" s="15" t="n">
        <f aca="false">IF(D5=0,0,C5/D5)</f>
        <v>0.61174121107358</v>
      </c>
      <c r="H5" s="16" t="n">
        <f aca="false">B5-B4</f>
        <v>-65989</v>
      </c>
      <c r="I5" s="17" t="n">
        <f aca="false">(Summary!$C$13-G5)*100</f>
        <v>30.825878892642</v>
      </c>
      <c r="J5" s="18" t="n">
        <f aca="false">(G5-Summary!$C$12)*100</f>
        <v>-3.82587889264204</v>
      </c>
    </row>
    <row r="6" customFormat="false" ht="15" hidden="false" customHeight="false" outlineLevel="0" collapsed="false">
      <c r="A6" s="13" t="n">
        <v>45870</v>
      </c>
      <c r="B6" s="14" t="n">
        <v>7345544</v>
      </c>
      <c r="C6" s="14" t="n">
        <v>4475566</v>
      </c>
      <c r="D6" s="14" t="n">
        <v>7345544</v>
      </c>
      <c r="E6" s="14" t="n">
        <v>192024</v>
      </c>
      <c r="F6" s="14" t="n">
        <v>2375</v>
      </c>
      <c r="G6" s="15" t="n">
        <f aca="false">IF(D6=0,0,C6/D6)</f>
        <v>0.609289931419647</v>
      </c>
      <c r="H6" s="16" t="n">
        <f aca="false">B6-B5</f>
        <v>11258</v>
      </c>
      <c r="I6" s="17" t="n">
        <f aca="false">(Summary!$C$13-G6)*100</f>
        <v>31.0710068580353</v>
      </c>
      <c r="J6" s="18" t="n">
        <f aca="false">(G6-Summary!$C$12)*100</f>
        <v>-4.0710068580353</v>
      </c>
    </row>
    <row r="7" customFormat="false" ht="15" hidden="false" customHeight="false" outlineLevel="0" collapsed="false">
      <c r="A7" s="13" t="n">
        <v>45901</v>
      </c>
      <c r="B7" s="14" t="n">
        <v>7329574</v>
      </c>
      <c r="C7" s="14" t="n">
        <v>4522668</v>
      </c>
      <c r="D7" s="14" t="n">
        <v>7329574</v>
      </c>
      <c r="E7" s="14" t="n">
        <v>181947</v>
      </c>
      <c r="F7" s="14" t="n">
        <v>2540</v>
      </c>
      <c r="G7" s="15" t="n">
        <f aca="false">IF(D7=0,0,C7/D7)</f>
        <v>0.617043773621768</v>
      </c>
      <c r="H7" s="16" t="n">
        <f aca="false">B7-B6</f>
        <v>-15970</v>
      </c>
      <c r="I7" s="17" t="n">
        <f aca="false">(Summary!$C$13-G7)*100</f>
        <v>30.2956226378232</v>
      </c>
      <c r="J7" s="18" t="n">
        <f aca="false">(G7-Summary!$C$12)*100</f>
        <v>-3.29562263782316</v>
      </c>
    </row>
    <row r="8" customFormat="false" ht="15" hidden="false" customHeight="false" outlineLevel="0" collapsed="false">
      <c r="A8" s="13" t="n">
        <v>45931</v>
      </c>
      <c r="B8" s="14" t="n">
        <v>7337076</v>
      </c>
      <c r="C8" s="14" t="n">
        <v>4523866</v>
      </c>
      <c r="D8" s="14" t="n">
        <v>7337076</v>
      </c>
      <c r="E8" s="14" t="n">
        <v>174373</v>
      </c>
      <c r="F8" s="14" t="n">
        <v>2900</v>
      </c>
      <c r="G8" s="15" t="n">
        <f aca="false">IF(D8=0,0,C8/D8)</f>
        <v>0.616576140140841</v>
      </c>
      <c r="H8" s="16" t="n">
        <f aca="false">B8-B7</f>
        <v>7502</v>
      </c>
      <c r="I8" s="17" t="n">
        <f aca="false">(Summary!$C$13-G8)*100</f>
        <v>30.3423859859159</v>
      </c>
      <c r="J8" s="18" t="n">
        <f aca="false">(G8-Summary!$C$12)*100</f>
        <v>-3.34238598591592</v>
      </c>
    </row>
    <row r="9" customFormat="false" ht="15" hidden="false" customHeight="false" outlineLevel="0" collapsed="false">
      <c r="A9" s="13" t="n">
        <v>45962</v>
      </c>
      <c r="B9" s="14" t="n">
        <v>7191310</v>
      </c>
      <c r="C9" s="14" t="n">
        <v>4429395</v>
      </c>
      <c r="D9" s="14" t="n">
        <v>7191310</v>
      </c>
      <c r="E9" s="14" t="n">
        <v>157710</v>
      </c>
      <c r="F9" s="14" t="n">
        <v>2755</v>
      </c>
      <c r="G9" s="15" t="n">
        <f aca="false">IF(D9=0,0,C9/D9)</f>
        <v>0.615937151923641</v>
      </c>
      <c r="H9" s="16" t="n">
        <f aca="false">B9-B8</f>
        <v>-145766</v>
      </c>
      <c r="I9" s="17" t="n">
        <f aca="false">(Summary!$C$13-G9)*100</f>
        <v>30.4062848076359</v>
      </c>
      <c r="J9" s="18" t="n">
        <f aca="false">(G9-Summary!$C$12)*100</f>
        <v>-3.40628480763588</v>
      </c>
    </row>
    <row r="10" customFormat="false" ht="15" hidden="false" customHeight="false" outlineLevel="0" collapsed="false">
      <c r="A10" s="13" t="n">
        <v>45992</v>
      </c>
      <c r="B10" s="14" t="n">
        <v>7231880</v>
      </c>
      <c r="C10" s="14" t="n">
        <v>4440594</v>
      </c>
      <c r="D10" s="14" t="n">
        <v>7231880</v>
      </c>
      <c r="E10" s="14" t="n">
        <v>142204</v>
      </c>
      <c r="F10" s="14" t="n">
        <v>2874</v>
      </c>
      <c r="G10" s="15" t="n">
        <f aca="false">IF(D10=0,0,C10/D10)</f>
        <v>0.614030376610231</v>
      </c>
      <c r="H10" s="16" t="n">
        <f aca="false">B10-B9</f>
        <v>40570</v>
      </c>
      <c r="I10" s="17" t="n">
        <f aca="false">(Summary!$C$13-G10)*100</f>
        <v>30.5969623389769</v>
      </c>
      <c r="J10" s="18" t="n">
        <f aca="false">(G10-Summary!$C$12)*100</f>
        <v>-3.59696233897686</v>
      </c>
    </row>
    <row r="11" customFormat="false" ht="15" hidden="false" customHeight="false" outlineLevel="0" collapsed="false">
      <c r="A11" s="13" t="n">
        <v>46023</v>
      </c>
      <c r="B11" s="14" t="n">
        <v>7187677</v>
      </c>
      <c r="C11" s="14" t="n">
        <v>4412147</v>
      </c>
      <c r="D11" s="14" t="n">
        <v>7187677</v>
      </c>
      <c r="E11" s="14" t="n">
        <v>137320</v>
      </c>
      <c r="F11" s="14" t="n">
        <v>2947</v>
      </c>
      <c r="G11" s="15" t="n">
        <f aca="false">IF(D11=0,0,C11/D11)</f>
        <v>0.613848813740517</v>
      </c>
      <c r="H11" s="16" t="n">
        <f aca="false">B11-B10</f>
        <v>-44203</v>
      </c>
      <c r="I11" s="17" t="n">
        <f aca="false">(Summary!$C$13-G11)*100</f>
        <v>30.6151186259483</v>
      </c>
      <c r="J11" s="18" t="n">
        <f aca="false">(G11-Summary!$C$12)*100</f>
        <v>-3.61511862594828</v>
      </c>
    </row>
    <row r="12" customFormat="false" ht="15" hidden="false" customHeight="false" outlineLevel="0" collapsed="false">
      <c r="A12" s="13" t="n">
        <v>46054</v>
      </c>
      <c r="B12" s="14" t="n">
        <v>7156212</v>
      </c>
      <c r="C12" s="14" t="n">
        <v>4472365</v>
      </c>
      <c r="D12" s="14" t="n">
        <v>7156212</v>
      </c>
      <c r="E12" s="14" t="n">
        <v>124280</v>
      </c>
      <c r="F12" s="14" t="n">
        <v>2668</v>
      </c>
      <c r="G12" s="15" t="n">
        <f aca="false">IF(D12=0,0,C12/D12)</f>
        <v>0.624962619888846</v>
      </c>
      <c r="H12" s="16" t="n">
        <f aca="false">B12-B11</f>
        <v>-31465</v>
      </c>
      <c r="I12" s="17" t="n">
        <f aca="false">(Summary!$C$13-G12)*100</f>
        <v>29.5037380111154</v>
      </c>
      <c r="J12" s="18" t="n">
        <f aca="false">(G12-Summary!$C$12)*100</f>
        <v>-2.50373801111538</v>
      </c>
    </row>
    <row r="13" customFormat="false" ht="15" hidden="false" customHeight="false" outlineLevel="0" collapsed="false">
      <c r="A13" s="13" t="n">
        <v>46082</v>
      </c>
      <c r="B13" s="14" t="n">
        <v>7045510</v>
      </c>
      <c r="C13" s="14" t="n">
        <v>4596622</v>
      </c>
      <c r="D13" s="14" t="n">
        <v>7045510</v>
      </c>
      <c r="E13" s="14" t="n">
        <v>95824</v>
      </c>
      <c r="F13" s="14" t="n">
        <v>2335</v>
      </c>
      <c r="G13" s="15" t="n">
        <f aca="false">IF(D13=0,0,C13/D13)</f>
        <v>0.652418632575924</v>
      </c>
      <c r="H13" s="16" t="n">
        <f aca="false">B13-B12</f>
        <v>-110702</v>
      </c>
      <c r="I13" s="17" t="n">
        <f aca="false">(Summary!$C$13-G13)*100</f>
        <v>26.7581367424076</v>
      </c>
      <c r="J13" s="18" t="n">
        <f aca="false">(G13-Summary!$C$12)*100</f>
        <v>0.241863257592423</v>
      </c>
    </row>
  </sheetData>
  <conditionalFormatting sqref="G2:G13">
    <cfRule type="cellIs" priority="2" operator="lessThan" aboveAverage="0" equalAverage="0" bottom="0" percent="0" rank="0" text="" dxfId="0">
      <formula>Summary!$C$13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19" t="s">
        <v>29</v>
      </c>
    </row>
    <row r="3" customFormat="false" ht="26.85" hidden="false" customHeight="false" outlineLevel="0" collapsed="false">
      <c r="A3" s="12" t="s">
        <v>30</v>
      </c>
      <c r="B3" s="12" t="s">
        <v>3</v>
      </c>
      <c r="C3" s="12" t="s">
        <v>22</v>
      </c>
      <c r="D3" s="12" t="s">
        <v>23</v>
      </c>
      <c r="E3" s="12" t="s">
        <v>24</v>
      </c>
      <c r="F3" s="12" t="s">
        <v>4</v>
      </c>
      <c r="G3" s="12" t="s">
        <v>31</v>
      </c>
      <c r="H3" s="12" t="s">
        <v>32</v>
      </c>
    </row>
    <row r="4" customFormat="false" ht="15" hidden="false" customHeight="false" outlineLevel="0" collapsed="false">
      <c r="A4" s="3" t="s">
        <v>33</v>
      </c>
      <c r="B4" s="14" t="n">
        <v>826172</v>
      </c>
      <c r="C4" s="14" t="n">
        <v>488079</v>
      </c>
      <c r="D4" s="14" t="n">
        <v>826172</v>
      </c>
      <c r="E4" s="14" t="n">
        <v>18999</v>
      </c>
      <c r="F4" s="20" t="n">
        <f aca="false">IF(D4=0,0,C4/D4)</f>
        <v>0.59077165529696</v>
      </c>
      <c r="G4" s="20" t="n">
        <f aca="false">IF(B4=0,0,E4/B4)</f>
        <v>0.0229964220525508</v>
      </c>
      <c r="H4" s="20" t="n">
        <f aca="false">IF(SUM($E$4:$E$26)=0,0,E4/SUM($E$4:$E$26))</f>
        <v>0.198269744531641</v>
      </c>
    </row>
    <row r="5" customFormat="false" ht="15" hidden="false" customHeight="false" outlineLevel="0" collapsed="false">
      <c r="A5" s="3" t="s">
        <v>34</v>
      </c>
      <c r="B5" s="14" t="n">
        <v>614175</v>
      </c>
      <c r="C5" s="14" t="n">
        <v>433774</v>
      </c>
      <c r="D5" s="14" t="n">
        <v>614175</v>
      </c>
      <c r="E5" s="14" t="n">
        <v>3897</v>
      </c>
      <c r="F5" s="20" t="n">
        <f aca="false">IF(D5=0,0,C5/D5)</f>
        <v>0.706271013961819</v>
      </c>
      <c r="G5" s="20" t="n">
        <f aca="false">IF(B5=0,0,E5/B5)</f>
        <v>0.00634509708145073</v>
      </c>
      <c r="H5" s="20" t="n">
        <f aca="false">IF(SUM($E$4:$E$26)=0,0,E5/SUM($E$4:$E$26))</f>
        <v>0.0406683085657038</v>
      </c>
    </row>
    <row r="6" customFormat="false" ht="15" hidden="false" customHeight="false" outlineLevel="0" collapsed="false">
      <c r="A6" s="3" t="s">
        <v>35</v>
      </c>
      <c r="B6" s="14" t="n">
        <v>603966</v>
      </c>
      <c r="C6" s="14" t="n">
        <v>439393</v>
      </c>
      <c r="D6" s="14" t="n">
        <v>603966</v>
      </c>
      <c r="E6" s="14" t="n">
        <v>4424</v>
      </c>
      <c r="F6" s="20" t="n">
        <f aca="false">IF(D6=0,0,C6/D6)</f>
        <v>0.727512807012315</v>
      </c>
      <c r="G6" s="20" t="n">
        <f aca="false">IF(B6=0,0,E6/B6)</f>
        <v>0.00732491564094668</v>
      </c>
      <c r="H6" s="20" t="n">
        <f aca="false">IF(SUM($E$4:$E$26)=0,0,E6/SUM($E$4:$E$26))</f>
        <v>0.0461679746201369</v>
      </c>
    </row>
    <row r="7" customFormat="false" ht="15" hidden="false" customHeight="false" outlineLevel="0" collapsed="false">
      <c r="A7" s="3" t="s">
        <v>36</v>
      </c>
      <c r="B7" s="14" t="n">
        <v>580054</v>
      </c>
      <c r="C7" s="14" t="n">
        <v>338817</v>
      </c>
      <c r="D7" s="14" t="n">
        <v>580054</v>
      </c>
      <c r="E7" s="14" t="n">
        <v>12596</v>
      </c>
      <c r="F7" s="20" t="n">
        <f aca="false">IF(D7=0,0,C7/D7)</f>
        <v>0.584112858458006</v>
      </c>
      <c r="G7" s="20" t="n">
        <f aca="false">IF(B7=0,0,E7/B7)</f>
        <v>0.0217152196174839</v>
      </c>
      <c r="H7" s="20" t="n">
        <f aca="false">IF(SUM($E$4:$E$26)=0,0,E7/SUM($E$4:$E$26))</f>
        <v>0.131449323760227</v>
      </c>
    </row>
    <row r="8" customFormat="false" ht="15" hidden="false" customHeight="false" outlineLevel="0" collapsed="false">
      <c r="A8" s="3" t="s">
        <v>37</v>
      </c>
      <c r="B8" s="14" t="n">
        <v>555528</v>
      </c>
      <c r="C8" s="14" t="n">
        <v>337944</v>
      </c>
      <c r="D8" s="14" t="n">
        <v>555528</v>
      </c>
      <c r="E8" s="14" t="n">
        <v>10033</v>
      </c>
      <c r="F8" s="20" t="n">
        <f aca="false">IF(D8=0,0,C8/D8)</f>
        <v>0.608329373136908</v>
      </c>
      <c r="G8" s="20" t="n">
        <f aca="false">IF(B8=0,0,E8/B8)</f>
        <v>0.0180602957906712</v>
      </c>
      <c r="H8" s="20" t="n">
        <f aca="false">IF(SUM($E$4:$E$26)=0,0,E8/SUM($E$4:$E$26))</f>
        <v>0.104702371013525</v>
      </c>
    </row>
    <row r="9" customFormat="false" ht="15" hidden="false" customHeight="false" outlineLevel="0" collapsed="false">
      <c r="A9" s="3" t="s">
        <v>38</v>
      </c>
      <c r="B9" s="14" t="n">
        <v>467771</v>
      </c>
      <c r="C9" s="14" t="n">
        <v>309100</v>
      </c>
      <c r="D9" s="14" t="n">
        <v>467771</v>
      </c>
      <c r="E9" s="14" t="n">
        <v>5642</v>
      </c>
      <c r="F9" s="20" t="n">
        <f aca="false">IF(D9=0,0,C9/D9)</f>
        <v>0.66079342242251</v>
      </c>
      <c r="G9" s="20" t="n">
        <f aca="false">IF(B9=0,0,E9/B9)</f>
        <v>0.0120614574225422</v>
      </c>
      <c r="H9" s="20" t="n">
        <f aca="false">IF(SUM($E$4:$E$26)=0,0,E9/SUM($E$4:$E$26))</f>
        <v>0.0588787777592252</v>
      </c>
    </row>
    <row r="10" customFormat="false" ht="15" hidden="false" customHeight="false" outlineLevel="0" collapsed="false">
      <c r="A10" s="3" t="s">
        <v>39</v>
      </c>
      <c r="B10" s="14" t="n">
        <v>378188</v>
      </c>
      <c r="C10" s="14" t="n">
        <v>250637</v>
      </c>
      <c r="D10" s="14" t="n">
        <v>378188</v>
      </c>
      <c r="E10" s="14" t="n">
        <v>5112</v>
      </c>
      <c r="F10" s="20" t="n">
        <f aca="false">IF(D10=0,0,C10/D10)</f>
        <v>0.66273123420098</v>
      </c>
      <c r="G10" s="20" t="n">
        <f aca="false">IF(B10=0,0,E10/B10)</f>
        <v>0.0135170867399283</v>
      </c>
      <c r="H10" s="20" t="n">
        <f aca="false">IF(SUM($E$4:$E$26)=0,0,E10/SUM($E$4:$E$26))</f>
        <v>0.0533478043078978</v>
      </c>
    </row>
    <row r="11" customFormat="false" ht="15" hidden="false" customHeight="false" outlineLevel="0" collapsed="false">
      <c r="A11" s="3" t="s">
        <v>40</v>
      </c>
      <c r="B11" s="14" t="n">
        <v>376693</v>
      </c>
      <c r="C11" s="14" t="n">
        <v>237010</v>
      </c>
      <c r="D11" s="14" t="n">
        <v>376693</v>
      </c>
      <c r="E11" s="14" t="n">
        <v>5927</v>
      </c>
      <c r="F11" s="20" t="n">
        <f aca="false">IF(D11=0,0,C11/D11)</f>
        <v>0.629186101148681</v>
      </c>
      <c r="G11" s="20" t="n">
        <f aca="false">IF(B11=0,0,E11/B11)</f>
        <v>0.0157342982216288</v>
      </c>
      <c r="H11" s="20" t="n">
        <f aca="false">IF(SUM($E$4:$E$26)=0,0,E11/SUM($E$4:$E$26))</f>
        <v>0.0618529804641843</v>
      </c>
    </row>
    <row r="12" customFormat="false" ht="15" hidden="false" customHeight="false" outlineLevel="0" collapsed="false">
      <c r="A12" s="3" t="s">
        <v>41</v>
      </c>
      <c r="B12" s="14" t="n">
        <v>375773</v>
      </c>
      <c r="C12" s="14" t="n">
        <v>260246</v>
      </c>
      <c r="D12" s="14" t="n">
        <v>375773</v>
      </c>
      <c r="E12" s="14" t="n">
        <v>2892</v>
      </c>
      <c r="F12" s="20" t="n">
        <f aca="false">IF(D12=0,0,C12/D12)</f>
        <v>0.692561732748228</v>
      </c>
      <c r="G12" s="20" t="n">
        <f aca="false">IF(B12=0,0,E12/B12)</f>
        <v>0.00769613569894591</v>
      </c>
      <c r="H12" s="20" t="n">
        <f aca="false">IF(SUM($E$4:$E$26)=0,0,E12/SUM($E$4:$E$26))</f>
        <v>0.0301803306061112</v>
      </c>
    </row>
    <row r="13" customFormat="false" ht="15" hidden="false" customHeight="false" outlineLevel="0" collapsed="false">
      <c r="A13" s="3" t="s">
        <v>42</v>
      </c>
      <c r="B13" s="14" t="n">
        <v>372060</v>
      </c>
      <c r="C13" s="14" t="n">
        <v>241996</v>
      </c>
      <c r="D13" s="14" t="n">
        <v>372060</v>
      </c>
      <c r="E13" s="14" t="n">
        <v>3653</v>
      </c>
      <c r="F13" s="20" t="n">
        <f aca="false">IF(D13=0,0,C13/D13)</f>
        <v>0.650421974950277</v>
      </c>
      <c r="G13" s="20" t="n">
        <f aca="false">IF(B13=0,0,E13/B13)</f>
        <v>0.00981830887491265</v>
      </c>
      <c r="H13" s="20" t="n">
        <f aca="false">IF(SUM($E$4:$E$26)=0,0,E13/SUM($E$4:$E$26))</f>
        <v>0.0381219736183002</v>
      </c>
    </row>
    <row r="14" customFormat="false" ht="15" hidden="false" customHeight="false" outlineLevel="0" collapsed="false">
      <c r="A14" s="3" t="s">
        <v>43</v>
      </c>
      <c r="B14" s="14" t="n">
        <v>366951</v>
      </c>
      <c r="C14" s="14" t="n">
        <v>256103</v>
      </c>
      <c r="D14" s="14" t="n">
        <v>366951</v>
      </c>
      <c r="E14" s="14" t="n">
        <v>2925</v>
      </c>
      <c r="F14" s="20" t="n">
        <f aca="false">IF(D14=0,0,C14/D14)</f>
        <v>0.697921520857008</v>
      </c>
      <c r="G14" s="20" t="n">
        <f aca="false">IF(B14=0,0,E14/B14)</f>
        <v>0.00797109150813051</v>
      </c>
      <c r="H14" s="20" t="n">
        <f aca="false">IF(SUM($E$4:$E$26)=0,0,E14/SUM($E$4:$E$26))</f>
        <v>0.0305247119719486</v>
      </c>
    </row>
    <row r="15" customFormat="false" ht="15" hidden="false" customHeight="false" outlineLevel="0" collapsed="false">
      <c r="A15" s="3" t="s">
        <v>44</v>
      </c>
      <c r="B15" s="14" t="n">
        <v>320612</v>
      </c>
      <c r="C15" s="14" t="n">
        <v>178101</v>
      </c>
      <c r="D15" s="14" t="n">
        <v>320612</v>
      </c>
      <c r="E15" s="14" t="n">
        <v>7091</v>
      </c>
      <c r="F15" s="20" t="n">
        <f aca="false">IF(D15=0,0,C15/D15)</f>
        <v>0.555503225082031</v>
      </c>
      <c r="G15" s="20" t="n">
        <f aca="false">IF(B15=0,0,E15/B15)</f>
        <v>0.0221170760919741</v>
      </c>
      <c r="H15" s="20" t="n">
        <f aca="false">IF(SUM($E$4:$E$26)=0,0,E15/SUM($E$4:$E$26))</f>
        <v>0.0740002504591752</v>
      </c>
    </row>
    <row r="16" customFormat="false" ht="15" hidden="false" customHeight="false" outlineLevel="0" collapsed="false">
      <c r="A16" s="3" t="s">
        <v>45</v>
      </c>
      <c r="B16" s="14" t="n">
        <v>316520</v>
      </c>
      <c r="C16" s="14" t="n">
        <v>214156</v>
      </c>
      <c r="D16" s="14" t="n">
        <v>316520</v>
      </c>
      <c r="E16" s="14" t="n">
        <v>3908</v>
      </c>
      <c r="F16" s="20" t="n">
        <f aca="false">IF(D16=0,0,C16/D16)</f>
        <v>0.676595475799318</v>
      </c>
      <c r="G16" s="20" t="n">
        <f aca="false">IF(B16=0,0,E16/B16)</f>
        <v>0.0123467711361051</v>
      </c>
      <c r="H16" s="20" t="n">
        <f aca="false">IF(SUM($E$4:$E$26)=0,0,E16/SUM($E$4:$E$26))</f>
        <v>0.0407831023543162</v>
      </c>
    </row>
    <row r="17" customFormat="false" ht="15" hidden="false" customHeight="false" outlineLevel="0" collapsed="false">
      <c r="A17" s="3" t="s">
        <v>46</v>
      </c>
      <c r="B17" s="14" t="n">
        <v>208673</v>
      </c>
      <c r="C17" s="14" t="n">
        <v>126368</v>
      </c>
      <c r="D17" s="14" t="n">
        <v>208673</v>
      </c>
      <c r="E17" s="14" t="n">
        <v>2075</v>
      </c>
      <c r="F17" s="20" t="n">
        <f aca="false">IF(D17=0,0,C17/D17)</f>
        <v>0.605579063894227</v>
      </c>
      <c r="G17" s="20" t="n">
        <f aca="false">IF(B17=0,0,E17/B17)</f>
        <v>0.00994378764861769</v>
      </c>
      <c r="H17" s="20" t="n">
        <f aca="false">IF(SUM($E$4:$E$26)=0,0,E17/SUM($E$4:$E$26))</f>
        <v>0.0216542828518951</v>
      </c>
    </row>
    <row r="18" customFormat="false" ht="15" hidden="false" customHeight="false" outlineLevel="0" collapsed="false">
      <c r="A18" s="3" t="s">
        <v>47</v>
      </c>
      <c r="B18" s="14" t="n">
        <v>183922</v>
      </c>
      <c r="C18" s="14" t="n">
        <v>137944</v>
      </c>
      <c r="D18" s="14" t="n">
        <v>183922</v>
      </c>
      <c r="E18" s="14" t="n">
        <v>665</v>
      </c>
      <c r="F18" s="20" t="n">
        <f aca="false">IF(D18=0,0,C18/D18)</f>
        <v>0.750013592718652</v>
      </c>
      <c r="G18" s="20" t="n">
        <f aca="false">IF(B18=0,0,E18/B18)</f>
        <v>0.00361566316155762</v>
      </c>
      <c r="H18" s="20" t="n">
        <f aca="false">IF(SUM($E$4:$E$26)=0,0,E18/SUM($E$4:$E$26))</f>
        <v>0.00693980631157121</v>
      </c>
    </row>
    <row r="19" customFormat="false" ht="15" hidden="false" customHeight="false" outlineLevel="0" collapsed="false">
      <c r="A19" s="3" t="s">
        <v>48</v>
      </c>
      <c r="B19" s="14" t="n">
        <v>152735</v>
      </c>
      <c r="C19" s="14" t="n">
        <v>117837</v>
      </c>
      <c r="D19" s="14" t="n">
        <v>152735</v>
      </c>
      <c r="E19" s="14" t="n">
        <v>1282</v>
      </c>
      <c r="F19" s="20" t="n">
        <f aca="false">IF(D19=0,0,C19/D19)</f>
        <v>0.771512750842963</v>
      </c>
      <c r="G19" s="20" t="n">
        <f aca="false">IF(B19=0,0,E19/B19)</f>
        <v>0.0083936229416964</v>
      </c>
      <c r="H19" s="20" t="n">
        <f aca="false">IF(SUM($E$4:$E$26)=0,0,E19/SUM($E$4:$E$26))</f>
        <v>0.0133786942728335</v>
      </c>
    </row>
    <row r="20" customFormat="false" ht="15" hidden="false" customHeight="false" outlineLevel="0" collapsed="false">
      <c r="A20" s="3" t="s">
        <v>49</v>
      </c>
      <c r="B20" s="14" t="n">
        <v>112400</v>
      </c>
      <c r="C20" s="14" t="n">
        <v>79075</v>
      </c>
      <c r="D20" s="14" t="n">
        <v>112400</v>
      </c>
      <c r="E20" s="14" t="n">
        <v>755</v>
      </c>
      <c r="F20" s="20" t="n">
        <f aca="false">IF(D20=0,0,C20/D20)</f>
        <v>0.703514234875445</v>
      </c>
      <c r="G20" s="20" t="n">
        <f aca="false">IF(B20=0,0,E20/B20)</f>
        <v>0.00671708185053381</v>
      </c>
      <c r="H20" s="20" t="n">
        <f aca="false">IF(SUM($E$4:$E$26)=0,0,E20/SUM($E$4:$E$26))</f>
        <v>0.0078790282184004</v>
      </c>
    </row>
    <row r="21" customFormat="false" ht="15" hidden="false" customHeight="false" outlineLevel="0" collapsed="false">
      <c r="A21" s="3" t="s">
        <v>50</v>
      </c>
      <c r="B21" s="14" t="n">
        <v>101370</v>
      </c>
      <c r="C21" s="14" t="n">
        <v>57379</v>
      </c>
      <c r="D21" s="14" t="n">
        <v>101370</v>
      </c>
      <c r="E21" s="14" t="n">
        <v>2464</v>
      </c>
      <c r="F21" s="20" t="n">
        <f aca="false">IF(D21=0,0,C21/D21)</f>
        <v>0.566035316168492</v>
      </c>
      <c r="G21" s="20" t="n">
        <f aca="false">IF(B21=0,0,E21/B21)</f>
        <v>0.0243069941797376</v>
      </c>
      <c r="H21" s="20" t="n">
        <f aca="false">IF(SUM($E$4:$E$26)=0,0,E21/SUM($E$4:$E$26))</f>
        <v>0.0257138086491902</v>
      </c>
    </row>
    <row r="22" customFormat="false" ht="15" hidden="false" customHeight="false" outlineLevel="0" collapsed="false">
      <c r="A22" s="3" t="s">
        <v>51</v>
      </c>
      <c r="B22" s="14" t="n">
        <v>56423</v>
      </c>
      <c r="C22" s="14" t="n">
        <v>35100</v>
      </c>
      <c r="D22" s="14" t="n">
        <v>56423</v>
      </c>
      <c r="E22" s="14" t="n">
        <v>776</v>
      </c>
      <c r="F22" s="20" t="n">
        <f aca="false">IF(D22=0,0,C22/D22)</f>
        <v>0.622086737677897</v>
      </c>
      <c r="G22" s="20" t="n">
        <f aca="false">IF(B22=0,0,E22/B22)</f>
        <v>0.0137532566506566</v>
      </c>
      <c r="H22" s="20" t="n">
        <f aca="false">IF(SUM($E$4:$E$26)=0,0,E22/SUM($E$4:$E$26))</f>
        <v>0.00809817999666055</v>
      </c>
    </row>
    <row r="23" customFormat="false" ht="15" hidden="false" customHeight="false" outlineLevel="0" collapsed="false">
      <c r="A23" s="3" t="s">
        <v>52</v>
      </c>
      <c r="B23" s="14" t="n">
        <v>37173</v>
      </c>
      <c r="C23" s="14" t="n">
        <v>26707</v>
      </c>
      <c r="D23" s="14" t="n">
        <v>37173</v>
      </c>
      <c r="E23" s="14" t="n">
        <v>432</v>
      </c>
      <c r="F23" s="20" t="n">
        <f aca="false">IF(D23=0,0,C23/D23)</f>
        <v>0.718451564307427</v>
      </c>
      <c r="G23" s="20" t="n">
        <f aca="false">IF(B23=0,0,E23/B23)</f>
        <v>0.0116213380679525</v>
      </c>
      <c r="H23" s="20" t="n">
        <f aca="false">IF(SUM($E$4:$E$26)=0,0,E23/SUM($E$4:$E$26))</f>
        <v>0.0045082651527801</v>
      </c>
    </row>
    <row r="24" customFormat="false" ht="15" hidden="false" customHeight="false" outlineLevel="0" collapsed="false">
      <c r="A24" s="3" t="s">
        <v>53</v>
      </c>
      <c r="B24" s="14" t="n">
        <v>26038</v>
      </c>
      <c r="C24" s="14" t="n">
        <v>21559</v>
      </c>
      <c r="D24" s="14" t="n">
        <v>26038</v>
      </c>
      <c r="E24" s="14" t="n">
        <v>156</v>
      </c>
      <c r="F24" s="20" t="n">
        <f aca="false">IF(D24=0,0,C24/D24)</f>
        <v>0.827982179890929</v>
      </c>
      <c r="G24" s="20" t="n">
        <f aca="false">IF(B24=0,0,E24/B24)</f>
        <v>0.00599124356709425</v>
      </c>
      <c r="H24" s="20" t="n">
        <f aca="false">IF(SUM($E$4:$E$26)=0,0,E24/SUM($E$4:$E$26))</f>
        <v>0.00162798463850392</v>
      </c>
    </row>
    <row r="25" customFormat="false" ht="15" hidden="false" customHeight="false" outlineLevel="0" collapsed="false">
      <c r="A25" s="3" t="s">
        <v>54</v>
      </c>
      <c r="B25" s="14" t="n">
        <v>9135</v>
      </c>
      <c r="C25" s="14" t="n">
        <v>6700</v>
      </c>
      <c r="D25" s="14" t="n">
        <v>9135</v>
      </c>
      <c r="E25" s="14" t="n">
        <v>117</v>
      </c>
      <c r="F25" s="20" t="n">
        <f aca="false">IF(D25=0,0,C25/D25)</f>
        <v>0.73344280240832</v>
      </c>
      <c r="G25" s="20" t="n">
        <f aca="false">IF(B25=0,0,E25/B25)</f>
        <v>0.012807881773399</v>
      </c>
      <c r="H25" s="20" t="n">
        <f aca="false">IF(SUM($E$4:$E$26)=0,0,E25/SUM($E$4:$E$26))</f>
        <v>0.00122098847887794</v>
      </c>
    </row>
    <row r="26" customFormat="false" ht="15" hidden="false" customHeight="false" outlineLevel="0" collapsed="false">
      <c r="A26" s="3" t="s">
        <v>55</v>
      </c>
      <c r="B26" s="14" t="n">
        <v>3178</v>
      </c>
      <c r="C26" s="14" t="n">
        <v>2597</v>
      </c>
      <c r="D26" s="14" t="n">
        <v>3178</v>
      </c>
      <c r="E26" s="14" t="n">
        <v>3</v>
      </c>
      <c r="F26" s="20" t="n">
        <f aca="false">IF(D26=0,0,C26/D26)</f>
        <v>0.817180616740088</v>
      </c>
      <c r="G26" s="20" t="n">
        <f aca="false">IF(B26=0,0,E26/B26)</f>
        <v>0.000943989930774072</v>
      </c>
      <c r="H26" s="20" t="n">
        <f aca="false">IF(SUM($E$4:$E$26)=0,0,E26/SUM($E$4:$E$26))</f>
        <v>3.13073968943062E-005</v>
      </c>
    </row>
    <row r="27" customFormat="false" ht="15" hidden="false" customHeight="false" outlineLevel="0" collapsed="false">
      <c r="A27" s="9" t="s">
        <v>56</v>
      </c>
      <c r="B27" s="5" t="n">
        <f aca="false">SUM(B4:B26)</f>
        <v>7045510</v>
      </c>
      <c r="C27" s="5" t="n">
        <f aca="false">SUM(C4:C26)</f>
        <v>4596622</v>
      </c>
      <c r="D27" s="5" t="n">
        <f aca="false">SUM(D4:D26)</f>
        <v>7045510</v>
      </c>
      <c r="E27" s="5" t="n">
        <f aca="false">SUM(E4:E26)</f>
        <v>95824</v>
      </c>
      <c r="F27" s="20" t="n">
        <f aca="false">IF(D27=0,0,C27/D27)</f>
        <v>0.652418632575924</v>
      </c>
      <c r="G27" s="20" t="n">
        <f aca="false">IF(B27=0,0,E27/B27)</f>
        <v>0.013600718755633</v>
      </c>
    </row>
  </sheetData>
  <conditionalFormatting sqref="H4:H26">
    <cfRule type="dataBar" priority="2">
      <dataBar showValue="1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{9D9AFD3F-A13D-4A78-9655-308377611D87}</x14:id>
        </ext>
      </extLst>
    </cfRule>
  </conditionalFormatting>
  <conditionalFormatting sqref="F4:F26">
    <cfRule type="cellIs" priority="3" operator="lessThan" aboveAverage="0" equalAverage="0" bottom="0" percent="0" rank="0" text="" dxfId="0">
      <formula>Summary!$C$12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9AFD3F-A13D-4A78-9655-308377611D87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H4:H26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1"/>
  </cols>
  <sheetData>
    <row r="1" customFormat="false" ht="16.15" hidden="false" customHeight="false" outlineLevel="0" collapsed="false">
      <c r="A1" s="19" t="s">
        <v>57</v>
      </c>
    </row>
    <row r="3" customFormat="false" ht="26.85" hidden="false" customHeight="false" outlineLevel="0" collapsed="false">
      <c r="A3" s="12" t="s">
        <v>58</v>
      </c>
      <c r="B3" s="12" t="s">
        <v>59</v>
      </c>
      <c r="C3" s="12" t="s">
        <v>60</v>
      </c>
      <c r="D3" s="12" t="s">
        <v>3</v>
      </c>
      <c r="E3" s="12" t="s">
        <v>22</v>
      </c>
      <c r="F3" s="12" t="s">
        <v>23</v>
      </c>
      <c r="G3" s="12" t="s">
        <v>24</v>
      </c>
      <c r="H3" s="12" t="s">
        <v>4</v>
      </c>
      <c r="I3" s="12" t="s">
        <v>61</v>
      </c>
    </row>
    <row r="4" customFormat="false" ht="15" hidden="false" customHeight="false" outlineLevel="0" collapsed="false">
      <c r="A4" s="0" t="n">
        <f aca="false">RANK(H4,$H$4:$H$118,0)</f>
        <v>1</v>
      </c>
      <c r="B4" s="3" t="s">
        <v>62</v>
      </c>
      <c r="C4" s="3" t="s">
        <v>63</v>
      </c>
      <c r="D4" s="14" t="n">
        <v>37769</v>
      </c>
      <c r="E4" s="14" t="n">
        <v>32406</v>
      </c>
      <c r="F4" s="14" t="n">
        <v>37769</v>
      </c>
      <c r="G4" s="14" t="n">
        <v>12</v>
      </c>
      <c r="H4" s="20" t="n">
        <f aca="false">IF(F4=0,0,E4/F4)</f>
        <v>0.858005242394556</v>
      </c>
      <c r="I4" s="0" t="str">
        <f aca="false">IF(H4&gt;=Summary!$C$12,"Yes","No")</f>
        <v>Yes</v>
      </c>
    </row>
    <row r="5" customFormat="false" ht="15" hidden="false" customHeight="false" outlineLevel="0" collapsed="false">
      <c r="A5" s="0" t="n">
        <f aca="false">RANK(H5,$H$4:$H$118,0)</f>
        <v>2</v>
      </c>
      <c r="B5" s="3" t="s">
        <v>64</v>
      </c>
      <c r="C5" s="3" t="s">
        <v>65</v>
      </c>
      <c r="D5" s="14" t="n">
        <v>34676</v>
      </c>
      <c r="E5" s="14" t="n">
        <v>29053</v>
      </c>
      <c r="F5" s="14" t="n">
        <v>34676</v>
      </c>
      <c r="G5" s="14" t="n">
        <v>36</v>
      </c>
      <c r="H5" s="20" t="n">
        <f aca="false">IF(F5=0,0,E5/F5)</f>
        <v>0.837841734917522</v>
      </c>
      <c r="I5" s="0" t="str">
        <f aca="false">IF(H5&gt;=Summary!$C$12,"Yes","No")</f>
        <v>Yes</v>
      </c>
    </row>
    <row r="6" customFormat="false" ht="15" hidden="false" customHeight="false" outlineLevel="0" collapsed="false">
      <c r="A6" s="0" t="n">
        <f aca="false">RANK(H6,$H$4:$H$118,0)</f>
        <v>3</v>
      </c>
      <c r="B6" s="3" t="s">
        <v>66</v>
      </c>
      <c r="C6" s="3" t="s">
        <v>67</v>
      </c>
      <c r="D6" s="14" t="n">
        <v>37215</v>
      </c>
      <c r="E6" s="14" t="n">
        <v>30796</v>
      </c>
      <c r="F6" s="14" t="n">
        <v>37215</v>
      </c>
      <c r="G6" s="14" t="n">
        <v>0</v>
      </c>
      <c r="H6" s="20" t="n">
        <f aca="false">IF(F6=0,0,E6/F6)</f>
        <v>0.82751578664517</v>
      </c>
      <c r="I6" s="0" t="str">
        <f aca="false">IF(H6&gt;=Summary!$C$12,"Yes","No")</f>
        <v>Yes</v>
      </c>
    </row>
    <row r="7" customFormat="false" ht="15" hidden="false" customHeight="false" outlineLevel="0" collapsed="false">
      <c r="A7" s="0" t="n">
        <f aca="false">RANK(H7,$H$4:$H$118,0)</f>
        <v>4</v>
      </c>
      <c r="B7" s="3" t="s">
        <v>68</v>
      </c>
      <c r="C7" s="3" t="s">
        <v>67</v>
      </c>
      <c r="D7" s="14" t="n">
        <v>57899</v>
      </c>
      <c r="E7" s="14" t="n">
        <v>44340</v>
      </c>
      <c r="F7" s="14" t="n">
        <v>57899</v>
      </c>
      <c r="G7" s="14" t="n">
        <v>5</v>
      </c>
      <c r="H7" s="20" t="n">
        <f aca="false">IF(F7=0,0,E7/F7)</f>
        <v>0.765816335342579</v>
      </c>
      <c r="I7" s="0" t="str">
        <f aca="false">IF(H7&gt;=Summary!$C$12,"Yes","No")</f>
        <v>Yes</v>
      </c>
    </row>
    <row r="8" customFormat="false" ht="15" hidden="false" customHeight="false" outlineLevel="0" collapsed="false">
      <c r="A8" s="0" t="n">
        <f aca="false">RANK(H8,$H$4:$H$118,0)</f>
        <v>5</v>
      </c>
      <c r="B8" s="3" t="s">
        <v>69</v>
      </c>
      <c r="C8" s="3" t="s">
        <v>70</v>
      </c>
      <c r="D8" s="14" t="n">
        <v>26282</v>
      </c>
      <c r="E8" s="14" t="n">
        <v>20121</v>
      </c>
      <c r="F8" s="14" t="n">
        <v>26282</v>
      </c>
      <c r="G8" s="14" t="n">
        <v>175</v>
      </c>
      <c r="H8" s="20" t="n">
        <f aca="false">IF(F8=0,0,E8/F8)</f>
        <v>0.765581006011719</v>
      </c>
      <c r="I8" s="0" t="str">
        <f aca="false">IF(H8&gt;=Summary!$C$12,"Yes","No")</f>
        <v>Yes</v>
      </c>
    </row>
    <row r="9" customFormat="false" ht="15" hidden="false" customHeight="false" outlineLevel="0" collapsed="false">
      <c r="A9" s="0" t="n">
        <f aca="false">RANK(H9,$H$4:$H$118,0)</f>
        <v>6</v>
      </c>
      <c r="B9" s="3" t="s">
        <v>71</v>
      </c>
      <c r="C9" s="3" t="s">
        <v>72</v>
      </c>
      <c r="D9" s="14" t="n">
        <v>20774</v>
      </c>
      <c r="E9" s="14" t="n">
        <v>15838</v>
      </c>
      <c r="F9" s="14" t="n">
        <v>20774</v>
      </c>
      <c r="G9" s="14" t="n">
        <v>7</v>
      </c>
      <c r="H9" s="20" t="n">
        <f aca="false">IF(F9=0,0,E9/F9)</f>
        <v>0.762395301819582</v>
      </c>
      <c r="I9" s="0" t="str">
        <f aca="false">IF(H9&gt;=Summary!$C$12,"Yes","No")</f>
        <v>Yes</v>
      </c>
    </row>
    <row r="10" customFormat="false" ht="15" hidden="false" customHeight="false" outlineLevel="0" collapsed="false">
      <c r="A10" s="0" t="n">
        <f aca="false">RANK(H10,$H$4:$H$118,0)</f>
        <v>7</v>
      </c>
      <c r="B10" s="3" t="s">
        <v>73</v>
      </c>
      <c r="C10" s="3" t="s">
        <v>74</v>
      </c>
      <c r="D10" s="14" t="n">
        <v>46181</v>
      </c>
      <c r="E10" s="14" t="n">
        <v>35125</v>
      </c>
      <c r="F10" s="14" t="n">
        <v>46181</v>
      </c>
      <c r="G10" s="14" t="n">
        <v>24</v>
      </c>
      <c r="H10" s="20" t="n">
        <f aca="false">IF(F10=0,0,E10/F10)</f>
        <v>0.760594183755224</v>
      </c>
      <c r="I10" s="0" t="str">
        <f aca="false">IF(H10&gt;=Summary!$C$12,"Yes","No")</f>
        <v>Yes</v>
      </c>
    </row>
    <row r="11" customFormat="false" ht="15" hidden="false" customHeight="false" outlineLevel="0" collapsed="false">
      <c r="A11" s="0" t="n">
        <f aca="false">RANK(H11,$H$4:$H$118,0)</f>
        <v>8</v>
      </c>
      <c r="B11" s="3" t="s">
        <v>75</v>
      </c>
      <c r="C11" s="3" t="s">
        <v>76</v>
      </c>
      <c r="D11" s="14" t="n">
        <v>36307</v>
      </c>
      <c r="E11" s="14" t="n">
        <v>27584</v>
      </c>
      <c r="F11" s="14" t="n">
        <v>36307</v>
      </c>
      <c r="G11" s="14" t="n">
        <v>6</v>
      </c>
      <c r="H11" s="20" t="n">
        <f aca="false">IF(F11=0,0,E11/F11)</f>
        <v>0.759743300190046</v>
      </c>
      <c r="I11" s="0" t="str">
        <f aca="false">IF(H11&gt;=Summary!$C$12,"Yes","No")</f>
        <v>Yes</v>
      </c>
    </row>
    <row r="12" customFormat="false" ht="15" hidden="false" customHeight="false" outlineLevel="0" collapsed="false">
      <c r="A12" s="0" t="n">
        <f aca="false">RANK(H12,$H$4:$H$118,0)</f>
        <v>9</v>
      </c>
      <c r="B12" s="3" t="s">
        <v>77</v>
      </c>
      <c r="C12" s="3" t="s">
        <v>78</v>
      </c>
      <c r="D12" s="14" t="n">
        <v>67612</v>
      </c>
      <c r="E12" s="14" t="n">
        <v>50368</v>
      </c>
      <c r="F12" s="14" t="n">
        <v>67612</v>
      </c>
      <c r="G12" s="14" t="n">
        <v>6</v>
      </c>
      <c r="H12" s="20" t="n">
        <f aca="false">IF(F12=0,0,E12/F12)</f>
        <v>0.744956516594687</v>
      </c>
      <c r="I12" s="0" t="str">
        <f aca="false">IF(H12&gt;=Summary!$C$12,"Yes","No")</f>
        <v>Yes</v>
      </c>
    </row>
    <row r="13" customFormat="false" ht="15" hidden="false" customHeight="false" outlineLevel="0" collapsed="false">
      <c r="A13" s="0" t="n">
        <f aca="false">RANK(H13,$H$4:$H$118,0)</f>
        <v>10</v>
      </c>
      <c r="B13" s="3" t="s">
        <v>79</v>
      </c>
      <c r="C13" s="3" t="s">
        <v>80</v>
      </c>
      <c r="D13" s="14" t="n">
        <v>41862</v>
      </c>
      <c r="E13" s="14" t="n">
        <v>30830</v>
      </c>
      <c r="F13" s="14" t="n">
        <v>41862</v>
      </c>
      <c r="G13" s="14" t="n">
        <v>250</v>
      </c>
      <c r="H13" s="20" t="n">
        <f aca="false">IF(F13=0,0,E13/F13)</f>
        <v>0.736467440638288</v>
      </c>
      <c r="I13" s="0" t="str">
        <f aca="false">IF(H13&gt;=Summary!$C$12,"Yes","No")</f>
        <v>Yes</v>
      </c>
    </row>
    <row r="14" customFormat="false" ht="15" hidden="false" customHeight="false" outlineLevel="0" collapsed="false">
      <c r="A14" s="0" t="n">
        <f aca="false">RANK(H14,$H$4:$H$118,0)</f>
        <v>11</v>
      </c>
      <c r="B14" s="3" t="s">
        <v>81</v>
      </c>
      <c r="C14" s="3" t="s">
        <v>82</v>
      </c>
      <c r="D14" s="14" t="n">
        <v>27304</v>
      </c>
      <c r="E14" s="14" t="n">
        <v>19985</v>
      </c>
      <c r="F14" s="14" t="n">
        <v>27304</v>
      </c>
      <c r="G14" s="14" t="n">
        <v>2</v>
      </c>
      <c r="H14" s="20" t="n">
        <f aca="false">IF(F14=0,0,E14/F14)</f>
        <v>0.731944037503662</v>
      </c>
      <c r="I14" s="0" t="str">
        <f aca="false">IF(H14&gt;=Summary!$C$12,"Yes","No")</f>
        <v>Yes</v>
      </c>
    </row>
    <row r="15" customFormat="false" ht="15" hidden="false" customHeight="false" outlineLevel="0" collapsed="false">
      <c r="A15" s="0" t="n">
        <f aca="false">RANK(H15,$H$4:$H$118,0)</f>
        <v>12</v>
      </c>
      <c r="B15" s="3" t="s">
        <v>83</v>
      </c>
      <c r="C15" s="3" t="s">
        <v>67</v>
      </c>
      <c r="D15" s="14" t="n">
        <v>81301</v>
      </c>
      <c r="E15" s="14" t="n">
        <v>58961</v>
      </c>
      <c r="F15" s="14" t="n">
        <v>81301</v>
      </c>
      <c r="G15" s="14" t="n">
        <v>579</v>
      </c>
      <c r="H15" s="20" t="n">
        <f aca="false">IF(F15=0,0,E15/F15)</f>
        <v>0.725218631997146</v>
      </c>
      <c r="I15" s="0" t="str">
        <f aca="false">IF(H15&gt;=Summary!$C$12,"Yes","No")</f>
        <v>Yes</v>
      </c>
    </row>
    <row r="16" customFormat="false" ht="15" hidden="false" customHeight="false" outlineLevel="0" collapsed="false">
      <c r="A16" s="0" t="n">
        <f aca="false">RANK(H16,$H$4:$H$118,0)</f>
        <v>13</v>
      </c>
      <c r="B16" s="3" t="s">
        <v>84</v>
      </c>
      <c r="C16" s="3" t="s">
        <v>85</v>
      </c>
      <c r="D16" s="14" t="n">
        <v>30359</v>
      </c>
      <c r="E16" s="14" t="n">
        <v>21751</v>
      </c>
      <c r="F16" s="14" t="n">
        <v>30359</v>
      </c>
      <c r="G16" s="14" t="n">
        <v>26</v>
      </c>
      <c r="H16" s="20" t="n">
        <f aca="false">IF(F16=0,0,E16/F16)</f>
        <v>0.716459698936065</v>
      </c>
      <c r="I16" s="0" t="str">
        <f aca="false">IF(H16&gt;=Summary!$C$12,"Yes","No")</f>
        <v>Yes</v>
      </c>
    </row>
    <row r="17" customFormat="false" ht="15" hidden="false" customHeight="false" outlineLevel="0" collapsed="false">
      <c r="A17" s="0" t="n">
        <f aca="false">RANK(H17,$H$4:$H$118,0)</f>
        <v>14</v>
      </c>
      <c r="B17" s="3" t="s">
        <v>86</v>
      </c>
      <c r="C17" s="3" t="s">
        <v>87</v>
      </c>
      <c r="D17" s="14" t="n">
        <v>33941</v>
      </c>
      <c r="E17" s="14" t="n">
        <v>24278</v>
      </c>
      <c r="F17" s="14" t="n">
        <v>33941</v>
      </c>
      <c r="G17" s="14" t="n">
        <v>545</v>
      </c>
      <c r="H17" s="20" t="n">
        <f aca="false">IF(F17=0,0,E17/F17)</f>
        <v>0.715300079549807</v>
      </c>
      <c r="I17" s="0" t="str">
        <f aca="false">IF(H17&gt;=Summary!$C$12,"Yes","No")</f>
        <v>Yes</v>
      </c>
    </row>
    <row r="18" customFormat="false" ht="15" hidden="false" customHeight="false" outlineLevel="0" collapsed="false">
      <c r="A18" s="0" t="n">
        <f aca="false">RANK(H18,$H$4:$H$118,0)</f>
        <v>15</v>
      </c>
      <c r="B18" s="3" t="s">
        <v>88</v>
      </c>
      <c r="C18" s="3" t="s">
        <v>63</v>
      </c>
      <c r="D18" s="14" t="n">
        <v>21820</v>
      </c>
      <c r="E18" s="14" t="n">
        <v>15582</v>
      </c>
      <c r="F18" s="14" t="n">
        <v>21820</v>
      </c>
      <c r="G18" s="14" t="n">
        <v>76</v>
      </c>
      <c r="H18" s="20" t="n">
        <f aca="false">IF(F18=0,0,E18/F18)</f>
        <v>0.714115490375802</v>
      </c>
      <c r="I18" s="0" t="str">
        <f aca="false">IF(H18&gt;=Summary!$C$12,"Yes","No")</f>
        <v>Yes</v>
      </c>
    </row>
    <row r="19" customFormat="false" ht="15" hidden="false" customHeight="false" outlineLevel="0" collapsed="false">
      <c r="A19" s="0" t="n">
        <f aca="false">RANK(H19,$H$4:$H$118,0)</f>
        <v>16</v>
      </c>
      <c r="B19" s="3" t="s">
        <v>89</v>
      </c>
      <c r="C19" s="3" t="s">
        <v>90</v>
      </c>
      <c r="D19" s="14" t="n">
        <v>32341</v>
      </c>
      <c r="E19" s="14" t="n">
        <v>22969</v>
      </c>
      <c r="F19" s="14" t="n">
        <v>32341</v>
      </c>
      <c r="G19" s="14" t="n">
        <v>280</v>
      </c>
      <c r="H19" s="20" t="n">
        <f aca="false">IF(F19=0,0,E19/F19)</f>
        <v>0.710213042268328</v>
      </c>
      <c r="I19" s="0" t="str">
        <f aca="false">IF(H19&gt;=Summary!$C$12,"Yes","No")</f>
        <v>Yes</v>
      </c>
    </row>
    <row r="20" customFormat="false" ht="15" hidden="false" customHeight="false" outlineLevel="0" collapsed="false">
      <c r="A20" s="0" t="n">
        <f aca="false">RANK(H20,$H$4:$H$118,0)</f>
        <v>17</v>
      </c>
      <c r="B20" s="3" t="s">
        <v>91</v>
      </c>
      <c r="C20" s="3" t="s">
        <v>92</v>
      </c>
      <c r="D20" s="14" t="n">
        <v>21494</v>
      </c>
      <c r="E20" s="14" t="n">
        <v>15263</v>
      </c>
      <c r="F20" s="14" t="n">
        <v>21494</v>
      </c>
      <c r="G20" s="14" t="n">
        <v>136</v>
      </c>
      <c r="H20" s="20" t="n">
        <f aca="false">IF(F20=0,0,E20/F20)</f>
        <v>0.710105145622034</v>
      </c>
      <c r="I20" s="0" t="str">
        <f aca="false">IF(H20&gt;=Summary!$C$12,"Yes","No")</f>
        <v>Yes</v>
      </c>
    </row>
    <row r="21" customFormat="false" ht="15" hidden="false" customHeight="false" outlineLevel="0" collapsed="false">
      <c r="A21" s="0" t="n">
        <f aca="false">RANK(H21,$H$4:$H$118,0)</f>
        <v>18</v>
      </c>
      <c r="B21" s="3" t="s">
        <v>93</v>
      </c>
      <c r="C21" s="3" t="s">
        <v>94</v>
      </c>
      <c r="D21" s="14" t="n">
        <v>39487</v>
      </c>
      <c r="E21" s="14" t="n">
        <v>27919</v>
      </c>
      <c r="F21" s="14" t="n">
        <v>39487</v>
      </c>
      <c r="G21" s="14" t="n">
        <v>38</v>
      </c>
      <c r="H21" s="20" t="n">
        <f aca="false">IF(F21=0,0,E21/F21)</f>
        <v>0.70704282422063</v>
      </c>
      <c r="I21" s="0" t="str">
        <f aca="false">IF(H21&gt;=Summary!$C$12,"Yes","No")</f>
        <v>Yes</v>
      </c>
    </row>
    <row r="22" customFormat="false" ht="15" hidden="false" customHeight="false" outlineLevel="0" collapsed="false">
      <c r="A22" s="0" t="n">
        <f aca="false">RANK(H22,$H$4:$H$118,0)</f>
        <v>19</v>
      </c>
      <c r="B22" s="3" t="s">
        <v>95</v>
      </c>
      <c r="C22" s="3" t="s">
        <v>67</v>
      </c>
      <c r="D22" s="14" t="n">
        <v>21534</v>
      </c>
      <c r="E22" s="14" t="n">
        <v>15212</v>
      </c>
      <c r="F22" s="14" t="n">
        <v>21534</v>
      </c>
      <c r="G22" s="14" t="n">
        <v>212</v>
      </c>
      <c r="H22" s="20" t="n">
        <f aca="false">IF(F22=0,0,E22/F22)</f>
        <v>0.70641775796415</v>
      </c>
      <c r="I22" s="0" t="str">
        <f aca="false">IF(H22&gt;=Summary!$C$12,"Yes","No")</f>
        <v>Yes</v>
      </c>
    </row>
    <row r="23" customFormat="false" ht="15" hidden="false" customHeight="false" outlineLevel="0" collapsed="false">
      <c r="A23" s="0" t="n">
        <f aca="false">RANK(H23,$H$4:$H$118,0)</f>
        <v>20</v>
      </c>
      <c r="B23" s="3" t="s">
        <v>96</v>
      </c>
      <c r="C23" s="3" t="s">
        <v>87</v>
      </c>
      <c r="D23" s="14" t="n">
        <v>47723</v>
      </c>
      <c r="E23" s="14" t="n">
        <v>33401</v>
      </c>
      <c r="F23" s="14" t="n">
        <v>47723</v>
      </c>
      <c r="G23" s="14" t="n">
        <v>329</v>
      </c>
      <c r="H23" s="20" t="n">
        <f aca="false">IF(F23=0,0,E23/F23)</f>
        <v>0.699893133290028</v>
      </c>
      <c r="I23" s="0" t="str">
        <f aca="false">IF(H23&gt;=Summary!$C$12,"Yes","No")</f>
        <v>Yes</v>
      </c>
    </row>
    <row r="24" customFormat="false" ht="15" hidden="false" customHeight="false" outlineLevel="0" collapsed="false">
      <c r="A24" s="0" t="n">
        <f aca="false">RANK(H24,$H$4:$H$118,0)</f>
        <v>21</v>
      </c>
      <c r="B24" s="3" t="s">
        <v>97</v>
      </c>
      <c r="C24" s="3" t="s">
        <v>92</v>
      </c>
      <c r="D24" s="14" t="n">
        <v>28274</v>
      </c>
      <c r="E24" s="14" t="n">
        <v>19586</v>
      </c>
      <c r="F24" s="14" t="n">
        <v>28274</v>
      </c>
      <c r="G24" s="14" t="n">
        <v>334</v>
      </c>
      <c r="H24" s="20" t="n">
        <f aca="false">IF(F24=0,0,E24/F24)</f>
        <v>0.692721227983306</v>
      </c>
      <c r="I24" s="0" t="str">
        <f aca="false">IF(H24&gt;=Summary!$C$12,"Yes","No")</f>
        <v>Yes</v>
      </c>
    </row>
    <row r="25" customFormat="false" ht="15" hidden="false" customHeight="false" outlineLevel="0" collapsed="false">
      <c r="A25" s="0" t="n">
        <f aca="false">RANK(H25,$H$4:$H$118,0)</f>
        <v>23</v>
      </c>
      <c r="B25" s="3" t="s">
        <v>98</v>
      </c>
      <c r="C25" s="3" t="s">
        <v>85</v>
      </c>
      <c r="D25" s="14" t="n">
        <v>39105</v>
      </c>
      <c r="E25" s="14" t="n">
        <v>27032</v>
      </c>
      <c r="F25" s="14" t="n">
        <v>39105</v>
      </c>
      <c r="G25" s="14" t="n">
        <v>215</v>
      </c>
      <c r="H25" s="20" t="n">
        <f aca="false">IF(F25=0,0,E25/F25)</f>
        <v>0.691267101393684</v>
      </c>
      <c r="I25" s="0" t="str">
        <f aca="false">IF(H25&gt;=Summary!$C$12,"Yes","No")</f>
        <v>Yes</v>
      </c>
    </row>
    <row r="26" customFormat="false" ht="15" hidden="false" customHeight="false" outlineLevel="0" collapsed="false">
      <c r="A26" s="0" t="n">
        <f aca="false">RANK(H26,$H$4:$H$118,0)</f>
        <v>24</v>
      </c>
      <c r="B26" s="3" t="s">
        <v>99</v>
      </c>
      <c r="C26" s="3" t="s">
        <v>100</v>
      </c>
      <c r="D26" s="14" t="n">
        <v>83944</v>
      </c>
      <c r="E26" s="14" t="n">
        <v>58011</v>
      </c>
      <c r="F26" s="14" t="n">
        <v>83944</v>
      </c>
      <c r="G26" s="14" t="n">
        <v>96</v>
      </c>
      <c r="H26" s="20" t="n">
        <f aca="false">IF(F26=0,0,E26/F26)</f>
        <v>0.691067854760316</v>
      </c>
      <c r="I26" s="0" t="str">
        <f aca="false">IF(H26&gt;=Summary!$C$12,"Yes","No")</f>
        <v>Yes</v>
      </c>
    </row>
    <row r="27" customFormat="false" ht="15" hidden="false" customHeight="false" outlineLevel="0" collapsed="false">
      <c r="A27" s="0" t="n">
        <f aca="false">RANK(H27,$H$4:$H$118,0)</f>
        <v>22</v>
      </c>
      <c r="B27" s="3" t="s">
        <v>101</v>
      </c>
      <c r="C27" s="3" t="s">
        <v>102</v>
      </c>
      <c r="D27" s="14" t="n">
        <v>54332</v>
      </c>
      <c r="E27" s="14" t="n">
        <v>37563</v>
      </c>
      <c r="F27" s="14" t="n">
        <v>54332</v>
      </c>
      <c r="G27" s="14" t="n">
        <v>340</v>
      </c>
      <c r="H27" s="20" t="n">
        <f aca="false">IF(F27=0,0,E27/F27)</f>
        <v>0.691360524184643</v>
      </c>
      <c r="I27" s="0" t="str">
        <f aca="false">IF(H27&gt;=Summary!$C$12,"Yes","No")</f>
        <v>Yes</v>
      </c>
    </row>
    <row r="28" customFormat="false" ht="15" hidden="false" customHeight="false" outlineLevel="0" collapsed="false">
      <c r="A28" s="0" t="n">
        <f aca="false">RANK(H28,$H$4:$H$118,0)</f>
        <v>25</v>
      </c>
      <c r="B28" s="3" t="s">
        <v>103</v>
      </c>
      <c r="C28" s="3" t="s">
        <v>104</v>
      </c>
      <c r="D28" s="14" t="n">
        <v>34275</v>
      </c>
      <c r="E28" s="14" t="n">
        <v>23616</v>
      </c>
      <c r="F28" s="14" t="n">
        <v>34275</v>
      </c>
      <c r="G28" s="14" t="n">
        <v>0</v>
      </c>
      <c r="H28" s="20" t="n">
        <f aca="false">IF(F28=0,0,E28/F28)</f>
        <v>0.689015317286652</v>
      </c>
      <c r="I28" s="0" t="str">
        <f aca="false">IF(H28&gt;=Summary!$C$12,"Yes","No")</f>
        <v>Yes</v>
      </c>
    </row>
    <row r="29" customFormat="false" ht="15" hidden="false" customHeight="false" outlineLevel="0" collapsed="false">
      <c r="A29" s="0" t="n">
        <f aca="false">RANK(H29,$H$4:$H$118,0)</f>
        <v>26</v>
      </c>
      <c r="B29" s="3" t="s">
        <v>105</v>
      </c>
      <c r="C29" s="3" t="s">
        <v>106</v>
      </c>
      <c r="D29" s="14" t="n">
        <v>29705</v>
      </c>
      <c r="E29" s="14" t="n">
        <v>20458</v>
      </c>
      <c r="F29" s="14" t="n">
        <v>29705</v>
      </c>
      <c r="G29" s="14" t="n">
        <v>172</v>
      </c>
      <c r="H29" s="20" t="n">
        <f aca="false">IF(F29=0,0,E29/F29)</f>
        <v>0.688705605116984</v>
      </c>
      <c r="I29" s="0" t="str">
        <f aca="false">IF(H29&gt;=Summary!$C$12,"Yes","No")</f>
        <v>Yes</v>
      </c>
    </row>
    <row r="30" customFormat="false" ht="15" hidden="false" customHeight="false" outlineLevel="0" collapsed="false">
      <c r="A30" s="0" t="n">
        <f aca="false">RANK(H30,$H$4:$H$118,0)</f>
        <v>27</v>
      </c>
      <c r="B30" s="3" t="s">
        <v>107</v>
      </c>
      <c r="C30" s="3" t="s">
        <v>108</v>
      </c>
      <c r="D30" s="14" t="n">
        <v>89544</v>
      </c>
      <c r="E30" s="14" t="n">
        <v>61429</v>
      </c>
      <c r="F30" s="14" t="n">
        <v>89544</v>
      </c>
      <c r="G30" s="14" t="n">
        <v>397</v>
      </c>
      <c r="H30" s="20" t="n">
        <f aca="false">IF(F30=0,0,E30/F30)</f>
        <v>0.686020280532476</v>
      </c>
      <c r="I30" s="0" t="str">
        <f aca="false">IF(H30&gt;=Summary!$C$12,"Yes","No")</f>
        <v>Yes</v>
      </c>
    </row>
    <row r="31" customFormat="false" ht="15" hidden="false" customHeight="false" outlineLevel="0" collapsed="false">
      <c r="A31" s="0" t="n">
        <f aca="false">RANK(H31,$H$4:$H$118,0)</f>
        <v>28</v>
      </c>
      <c r="B31" s="3" t="s">
        <v>109</v>
      </c>
      <c r="C31" s="3" t="s">
        <v>110</v>
      </c>
      <c r="D31" s="14" t="n">
        <v>105788</v>
      </c>
      <c r="E31" s="14" t="n">
        <v>72418</v>
      </c>
      <c r="F31" s="14" t="n">
        <v>105788</v>
      </c>
      <c r="G31" s="14" t="n">
        <v>775</v>
      </c>
      <c r="H31" s="20" t="n">
        <f aca="false">IF(F31=0,0,E31/F31)</f>
        <v>0.684557794834953</v>
      </c>
      <c r="I31" s="0" t="str">
        <f aca="false">IF(H31&gt;=Summary!$C$12,"Yes","No")</f>
        <v>Yes</v>
      </c>
    </row>
    <row r="32" customFormat="false" ht="15" hidden="false" customHeight="false" outlineLevel="0" collapsed="false">
      <c r="A32" s="0" t="n">
        <f aca="false">RANK(H32,$H$4:$H$118,0)</f>
        <v>29</v>
      </c>
      <c r="B32" s="3" t="s">
        <v>111</v>
      </c>
      <c r="C32" s="3" t="s">
        <v>90</v>
      </c>
      <c r="D32" s="14" t="n">
        <v>43861</v>
      </c>
      <c r="E32" s="14" t="n">
        <v>29863</v>
      </c>
      <c r="F32" s="14" t="n">
        <v>43861</v>
      </c>
      <c r="G32" s="14" t="n">
        <v>278</v>
      </c>
      <c r="H32" s="20" t="n">
        <f aca="false">IF(F32=0,0,E32/F32)</f>
        <v>0.680855429652767</v>
      </c>
      <c r="I32" s="0" t="str">
        <f aca="false">IF(H32&gt;=Summary!$C$12,"Yes","No")</f>
        <v>Yes</v>
      </c>
    </row>
    <row r="33" customFormat="false" ht="15" hidden="false" customHeight="false" outlineLevel="0" collapsed="false">
      <c r="A33" s="0" t="n">
        <f aca="false">RANK(H33,$H$4:$H$118,0)</f>
        <v>30</v>
      </c>
      <c r="B33" s="3" t="s">
        <v>112</v>
      </c>
      <c r="C33" s="3" t="s">
        <v>94</v>
      </c>
      <c r="D33" s="14" t="n">
        <v>49924</v>
      </c>
      <c r="E33" s="14" t="n">
        <v>33957</v>
      </c>
      <c r="F33" s="14" t="n">
        <v>49924</v>
      </c>
      <c r="G33" s="14" t="n">
        <v>312</v>
      </c>
      <c r="H33" s="20" t="n">
        <f aca="false">IF(F33=0,0,E33/F33)</f>
        <v>0.680173864273696</v>
      </c>
      <c r="I33" s="0" t="str">
        <f aca="false">IF(H33&gt;=Summary!$C$12,"Yes","No")</f>
        <v>Yes</v>
      </c>
    </row>
    <row r="34" customFormat="false" ht="15" hidden="false" customHeight="false" outlineLevel="0" collapsed="false">
      <c r="A34" s="0" t="n">
        <f aca="false">RANK(H34,$H$4:$H$118,0)</f>
        <v>31</v>
      </c>
      <c r="B34" s="3" t="s">
        <v>113</v>
      </c>
      <c r="C34" s="3" t="s">
        <v>102</v>
      </c>
      <c r="D34" s="14" t="n">
        <v>45394</v>
      </c>
      <c r="E34" s="14" t="n">
        <v>30867</v>
      </c>
      <c r="F34" s="14" t="n">
        <v>45394</v>
      </c>
      <c r="G34" s="14" t="n">
        <v>310</v>
      </c>
      <c r="H34" s="20" t="n">
        <f aca="false">IF(F34=0,0,E34/F34)</f>
        <v>0.679979733004362</v>
      </c>
      <c r="I34" s="0" t="str">
        <f aca="false">IF(H34&gt;=Summary!$C$12,"Yes","No")</f>
        <v>Yes</v>
      </c>
    </row>
    <row r="35" customFormat="false" ht="15" hidden="false" customHeight="false" outlineLevel="0" collapsed="false">
      <c r="A35" s="0" t="n">
        <f aca="false">RANK(H35,$H$4:$H$118,0)</f>
        <v>32</v>
      </c>
      <c r="B35" s="3" t="s">
        <v>114</v>
      </c>
      <c r="C35" s="3" t="s">
        <v>115</v>
      </c>
      <c r="D35" s="14" t="n">
        <v>66516</v>
      </c>
      <c r="E35" s="14" t="n">
        <v>44911</v>
      </c>
      <c r="F35" s="14" t="n">
        <v>66516</v>
      </c>
      <c r="G35" s="14" t="n">
        <v>631</v>
      </c>
      <c r="H35" s="20" t="n">
        <f aca="false">IF(F35=0,0,E35/F35)</f>
        <v>0.675190931505202</v>
      </c>
      <c r="I35" s="0" t="str">
        <f aca="false">IF(H35&gt;=Summary!$C$12,"Yes","No")</f>
        <v>Yes</v>
      </c>
    </row>
    <row r="36" customFormat="false" ht="15" hidden="false" customHeight="false" outlineLevel="0" collapsed="false">
      <c r="A36" s="0" t="n">
        <f aca="false">RANK(H36,$H$4:$H$118,0)</f>
        <v>33</v>
      </c>
      <c r="B36" s="3" t="s">
        <v>116</v>
      </c>
      <c r="C36" s="3" t="s">
        <v>76</v>
      </c>
      <c r="D36" s="14" t="n">
        <v>85124</v>
      </c>
      <c r="E36" s="14" t="n">
        <v>57226</v>
      </c>
      <c r="F36" s="14" t="n">
        <v>85124</v>
      </c>
      <c r="G36" s="14" t="n">
        <v>1294</v>
      </c>
      <c r="H36" s="20" t="n">
        <f aca="false">IF(F36=0,0,E36/F36)</f>
        <v>0.67226634086744</v>
      </c>
      <c r="I36" s="0" t="str">
        <f aca="false">IF(H36&gt;=Summary!$C$12,"Yes","No")</f>
        <v>Yes</v>
      </c>
    </row>
    <row r="37" customFormat="false" ht="15" hidden="false" customHeight="false" outlineLevel="0" collapsed="false">
      <c r="A37" s="0" t="n">
        <f aca="false">RANK(H37,$H$4:$H$118,0)</f>
        <v>34</v>
      </c>
      <c r="B37" s="3" t="s">
        <v>117</v>
      </c>
      <c r="C37" s="3" t="s">
        <v>118</v>
      </c>
      <c r="D37" s="14" t="n">
        <v>47269</v>
      </c>
      <c r="E37" s="14" t="n">
        <v>31686</v>
      </c>
      <c r="F37" s="14" t="n">
        <v>47269</v>
      </c>
      <c r="G37" s="14" t="n">
        <v>621</v>
      </c>
      <c r="H37" s="20" t="n">
        <f aca="false">IF(F37=0,0,E37/F37)</f>
        <v>0.670333622458694</v>
      </c>
      <c r="I37" s="0" t="str">
        <f aca="false">IF(H37&gt;=Summary!$C$12,"Yes","No")</f>
        <v>Yes</v>
      </c>
    </row>
    <row r="38" customFormat="false" ht="15" hidden="false" customHeight="false" outlineLevel="0" collapsed="false">
      <c r="A38" s="0" t="n">
        <f aca="false">RANK(H38,$H$4:$H$118,0)</f>
        <v>35</v>
      </c>
      <c r="B38" s="3" t="s">
        <v>119</v>
      </c>
      <c r="C38" s="3" t="s">
        <v>76</v>
      </c>
      <c r="D38" s="14" t="n">
        <v>53908</v>
      </c>
      <c r="E38" s="14" t="n">
        <v>36049</v>
      </c>
      <c r="F38" s="14" t="n">
        <v>53908</v>
      </c>
      <c r="G38" s="14" t="n">
        <v>231</v>
      </c>
      <c r="H38" s="20" t="n">
        <f aca="false">IF(F38=0,0,E38/F38)</f>
        <v>0.668713363508199</v>
      </c>
      <c r="I38" s="0" t="str">
        <f aca="false">IF(H38&gt;=Summary!$C$12,"Yes","No")</f>
        <v>Yes</v>
      </c>
    </row>
    <row r="39" customFormat="false" ht="15" hidden="false" customHeight="false" outlineLevel="0" collapsed="false">
      <c r="A39" s="0" t="n">
        <f aca="false">RANK(H39,$H$4:$H$118,0)</f>
        <v>36</v>
      </c>
      <c r="B39" s="3" t="s">
        <v>120</v>
      </c>
      <c r="C39" s="3" t="s">
        <v>67</v>
      </c>
      <c r="D39" s="14" t="n">
        <v>43027</v>
      </c>
      <c r="E39" s="14" t="n">
        <v>28731</v>
      </c>
      <c r="F39" s="14" t="n">
        <v>43027</v>
      </c>
      <c r="G39" s="14" t="n">
        <v>415</v>
      </c>
      <c r="H39" s="20" t="n">
        <f aca="false">IF(F39=0,0,E39/F39)</f>
        <v>0.667743509889139</v>
      </c>
      <c r="I39" s="0" t="str">
        <f aca="false">IF(H39&gt;=Summary!$C$12,"Yes","No")</f>
        <v>Yes</v>
      </c>
    </row>
    <row r="40" customFormat="false" ht="15" hidden="false" customHeight="false" outlineLevel="0" collapsed="false">
      <c r="A40" s="0" t="n">
        <f aca="false">RANK(H40,$H$4:$H$118,0)</f>
        <v>37</v>
      </c>
      <c r="B40" s="3" t="s">
        <v>121</v>
      </c>
      <c r="C40" s="3" t="s">
        <v>90</v>
      </c>
      <c r="D40" s="14" t="n">
        <v>58229</v>
      </c>
      <c r="E40" s="14" t="n">
        <v>38735</v>
      </c>
      <c r="F40" s="14" t="n">
        <v>58229</v>
      </c>
      <c r="G40" s="14" t="n">
        <v>456</v>
      </c>
      <c r="H40" s="20" t="n">
        <f aca="false">IF(F40=0,0,E40/F40)</f>
        <v>0.665218361984578</v>
      </c>
      <c r="I40" s="0" t="str">
        <f aca="false">IF(H40&gt;=Summary!$C$12,"Yes","No")</f>
        <v>Yes</v>
      </c>
    </row>
    <row r="41" customFormat="false" ht="15" hidden="false" customHeight="false" outlineLevel="0" collapsed="false">
      <c r="A41" s="0" t="n">
        <f aca="false">RANK(H41,$H$4:$H$118,0)</f>
        <v>38</v>
      </c>
      <c r="B41" s="3" t="s">
        <v>122</v>
      </c>
      <c r="C41" s="3" t="s">
        <v>123</v>
      </c>
      <c r="D41" s="14" t="n">
        <v>33478</v>
      </c>
      <c r="E41" s="14" t="n">
        <v>22225</v>
      </c>
      <c r="F41" s="14" t="n">
        <v>33478</v>
      </c>
      <c r="G41" s="14" t="n">
        <v>596</v>
      </c>
      <c r="H41" s="20" t="n">
        <f aca="false">IF(F41=0,0,E41/F41)</f>
        <v>0.663868809367346</v>
      </c>
      <c r="I41" s="0" t="str">
        <f aca="false">IF(H41&gt;=Summary!$C$12,"Yes","No")</f>
        <v>Yes</v>
      </c>
    </row>
    <row r="42" customFormat="false" ht="15" hidden="false" customHeight="false" outlineLevel="0" collapsed="false">
      <c r="A42" s="0" t="n">
        <f aca="false">RANK(H42,$H$4:$H$118,0)</f>
        <v>39</v>
      </c>
      <c r="B42" s="3" t="s">
        <v>124</v>
      </c>
      <c r="C42" s="3" t="s">
        <v>110</v>
      </c>
      <c r="D42" s="14" t="n">
        <v>83918</v>
      </c>
      <c r="E42" s="14" t="n">
        <v>55710</v>
      </c>
      <c r="F42" s="14" t="n">
        <v>83918</v>
      </c>
      <c r="G42" s="14" t="n">
        <v>1127</v>
      </c>
      <c r="H42" s="20" t="n">
        <f aca="false">IF(F42=0,0,E42/F42)</f>
        <v>0.663862341809862</v>
      </c>
      <c r="I42" s="0" t="str">
        <f aca="false">IF(H42&gt;=Summary!$C$12,"Yes","No")</f>
        <v>Yes</v>
      </c>
    </row>
    <row r="43" customFormat="false" ht="15" hidden="false" customHeight="false" outlineLevel="0" collapsed="false">
      <c r="A43" s="0" t="n">
        <f aca="false">RANK(H43,$H$4:$H$118,0)</f>
        <v>40</v>
      </c>
      <c r="B43" s="3" t="s">
        <v>125</v>
      </c>
      <c r="C43" s="3" t="s">
        <v>126</v>
      </c>
      <c r="D43" s="14" t="n">
        <v>57467</v>
      </c>
      <c r="E43" s="14" t="n">
        <v>38116</v>
      </c>
      <c r="F43" s="14" t="n">
        <v>57467</v>
      </c>
      <c r="G43" s="14" t="n">
        <v>463</v>
      </c>
      <c r="H43" s="20" t="n">
        <f aca="false">IF(F43=0,0,E43/F43)</f>
        <v>0.663267614456993</v>
      </c>
      <c r="I43" s="0" t="str">
        <f aca="false">IF(H43&gt;=Summary!$C$12,"Yes","No")</f>
        <v>Yes</v>
      </c>
    </row>
    <row r="44" customFormat="false" ht="15" hidden="false" customHeight="false" outlineLevel="0" collapsed="false">
      <c r="A44" s="0" t="n">
        <f aca="false">RANK(H44,$H$4:$H$118,0)</f>
        <v>41</v>
      </c>
      <c r="B44" s="3" t="s">
        <v>127</v>
      </c>
      <c r="C44" s="3" t="s">
        <v>128</v>
      </c>
      <c r="D44" s="14" t="n">
        <v>77666</v>
      </c>
      <c r="E44" s="14" t="n">
        <v>51495</v>
      </c>
      <c r="F44" s="14" t="n">
        <v>77666</v>
      </c>
      <c r="G44" s="14" t="n">
        <v>1069</v>
      </c>
      <c r="H44" s="20" t="n">
        <f aca="false">IF(F44=0,0,E44/F44)</f>
        <v>0.663031442329977</v>
      </c>
      <c r="I44" s="0" t="str">
        <f aca="false">IF(H44&gt;=Summary!$C$12,"Yes","No")</f>
        <v>Yes</v>
      </c>
    </row>
    <row r="45" customFormat="false" ht="15" hidden="false" customHeight="false" outlineLevel="0" collapsed="false">
      <c r="A45" s="0" t="n">
        <f aca="false">RANK(H45,$H$4:$H$118,0)</f>
        <v>42</v>
      </c>
      <c r="B45" s="3" t="s">
        <v>129</v>
      </c>
      <c r="C45" s="3" t="s">
        <v>76</v>
      </c>
      <c r="D45" s="14" t="n">
        <v>31446</v>
      </c>
      <c r="E45" s="14" t="n">
        <v>20810</v>
      </c>
      <c r="F45" s="14" t="n">
        <v>31446</v>
      </c>
      <c r="G45" s="14" t="n">
        <v>63</v>
      </c>
      <c r="H45" s="20" t="n">
        <f aca="false">IF(F45=0,0,E45/F45)</f>
        <v>0.661769382433378</v>
      </c>
      <c r="I45" s="0" t="str">
        <f aca="false">IF(H45&gt;=Summary!$C$12,"Yes","No")</f>
        <v>Yes</v>
      </c>
    </row>
    <row r="46" customFormat="false" ht="15" hidden="false" customHeight="false" outlineLevel="0" collapsed="false">
      <c r="A46" s="0" t="n">
        <f aca="false">RANK(H46,$H$4:$H$118,0)</f>
        <v>45</v>
      </c>
      <c r="B46" s="3" t="s">
        <v>130</v>
      </c>
      <c r="C46" s="3" t="s">
        <v>100</v>
      </c>
      <c r="D46" s="14" t="n">
        <v>75645</v>
      </c>
      <c r="E46" s="14" t="n">
        <v>49923</v>
      </c>
      <c r="F46" s="14" t="n">
        <v>75645</v>
      </c>
      <c r="G46" s="14" t="n">
        <v>958</v>
      </c>
      <c r="H46" s="20" t="n">
        <f aca="false">IF(F46=0,0,E46/F46)</f>
        <v>0.659964306960143</v>
      </c>
      <c r="I46" s="0" t="str">
        <f aca="false">IF(H46&gt;=Summary!$C$12,"Yes","No")</f>
        <v>Yes</v>
      </c>
    </row>
    <row r="47" customFormat="false" ht="15" hidden="false" customHeight="false" outlineLevel="0" collapsed="false">
      <c r="A47" s="0" t="n">
        <f aca="false">RANK(H47,$H$4:$H$118,0)</f>
        <v>43</v>
      </c>
      <c r="B47" s="3" t="s">
        <v>131</v>
      </c>
      <c r="C47" s="3" t="s">
        <v>70</v>
      </c>
      <c r="D47" s="14" t="n">
        <v>68875</v>
      </c>
      <c r="E47" s="14" t="n">
        <v>45464</v>
      </c>
      <c r="F47" s="14" t="n">
        <v>68875</v>
      </c>
      <c r="G47" s="14" t="n">
        <v>862</v>
      </c>
      <c r="H47" s="20" t="n">
        <f aca="false">IF(F47=0,0,E47/F47)</f>
        <v>0.660094373865699</v>
      </c>
      <c r="I47" s="0" t="str">
        <f aca="false">IF(H47&gt;=Summary!$C$12,"Yes","No")</f>
        <v>Yes</v>
      </c>
    </row>
    <row r="48" customFormat="false" ht="15" hidden="false" customHeight="false" outlineLevel="0" collapsed="false">
      <c r="A48" s="0" t="n">
        <f aca="false">RANK(H48,$H$4:$H$118,0)</f>
        <v>44</v>
      </c>
      <c r="B48" s="3" t="s">
        <v>132</v>
      </c>
      <c r="C48" s="3" t="s">
        <v>133</v>
      </c>
      <c r="D48" s="14" t="n">
        <v>29130</v>
      </c>
      <c r="E48" s="14" t="n">
        <v>19228</v>
      </c>
      <c r="F48" s="14" t="n">
        <v>29130</v>
      </c>
      <c r="G48" s="14" t="n">
        <v>414</v>
      </c>
      <c r="H48" s="20" t="n">
        <f aca="false">IF(F48=0,0,E48/F48)</f>
        <v>0.660075523515276</v>
      </c>
      <c r="I48" s="0" t="str">
        <f aca="false">IF(H48&gt;=Summary!$C$12,"Yes","No")</f>
        <v>Yes</v>
      </c>
    </row>
    <row r="49" customFormat="false" ht="15" hidden="false" customHeight="false" outlineLevel="0" collapsed="false">
      <c r="A49" s="0" t="n">
        <f aca="false">RANK(H49,$H$4:$H$118,0)</f>
        <v>46</v>
      </c>
      <c r="B49" s="3" t="s">
        <v>134</v>
      </c>
      <c r="C49" s="3" t="s">
        <v>123</v>
      </c>
      <c r="D49" s="14" t="n">
        <v>45707</v>
      </c>
      <c r="E49" s="14" t="n">
        <v>29977</v>
      </c>
      <c r="F49" s="14" t="n">
        <v>45707</v>
      </c>
      <c r="G49" s="14" t="n">
        <v>630</v>
      </c>
      <c r="H49" s="20" t="n">
        <f aca="false">IF(F49=0,0,E49/F49)</f>
        <v>0.655851401317085</v>
      </c>
      <c r="I49" s="0" t="str">
        <f aca="false">IF(H49&gt;=Summary!$C$12,"Yes","No")</f>
        <v>Yes</v>
      </c>
    </row>
    <row r="50" customFormat="false" ht="15" hidden="false" customHeight="false" outlineLevel="0" collapsed="false">
      <c r="A50" s="0" t="n">
        <f aca="false">RANK(H50,$H$4:$H$118,0)</f>
        <v>47</v>
      </c>
      <c r="B50" s="3" t="s">
        <v>135</v>
      </c>
      <c r="C50" s="3" t="s">
        <v>65</v>
      </c>
      <c r="D50" s="14" t="n">
        <v>45896</v>
      </c>
      <c r="E50" s="14" t="n">
        <v>30098</v>
      </c>
      <c r="F50" s="14" t="n">
        <v>45896</v>
      </c>
      <c r="G50" s="14" t="n">
        <v>58</v>
      </c>
      <c r="H50" s="20" t="n">
        <f aca="false">IF(F50=0,0,E50/F50)</f>
        <v>0.655786996688165</v>
      </c>
      <c r="I50" s="0" t="str">
        <f aca="false">IF(H50&gt;=Summary!$C$12,"Yes","No")</f>
        <v>Yes</v>
      </c>
    </row>
    <row r="51" customFormat="false" ht="15" hidden="false" customHeight="false" outlineLevel="0" collapsed="false">
      <c r="A51" s="0" t="n">
        <f aca="false">RANK(H51,$H$4:$H$118,0)</f>
        <v>48</v>
      </c>
      <c r="B51" s="3" t="s">
        <v>136</v>
      </c>
      <c r="C51" s="3" t="s">
        <v>137</v>
      </c>
      <c r="D51" s="14" t="n">
        <v>52302</v>
      </c>
      <c r="E51" s="14" t="n">
        <v>34209</v>
      </c>
      <c r="F51" s="14" t="n">
        <v>52302</v>
      </c>
      <c r="G51" s="14" t="n">
        <v>1028</v>
      </c>
      <c r="H51" s="20" t="n">
        <f aca="false">IF(F51=0,0,E51/F51)</f>
        <v>0.654066766089251</v>
      </c>
      <c r="I51" s="0" t="str">
        <f aca="false">IF(H51&gt;=Summary!$C$12,"Yes","No")</f>
        <v>Yes</v>
      </c>
    </row>
    <row r="52" customFormat="false" ht="15" hidden="false" customHeight="false" outlineLevel="0" collapsed="false">
      <c r="A52" s="0" t="n">
        <f aca="false">RANK(H52,$H$4:$H$118,0)</f>
        <v>50</v>
      </c>
      <c r="B52" s="3" t="s">
        <v>138</v>
      </c>
      <c r="C52" s="3" t="s">
        <v>139</v>
      </c>
      <c r="D52" s="14" t="n">
        <v>26031</v>
      </c>
      <c r="E52" s="14" t="n">
        <v>16989</v>
      </c>
      <c r="F52" s="14" t="n">
        <v>26031</v>
      </c>
      <c r="G52" s="14" t="n">
        <v>546</v>
      </c>
      <c r="H52" s="20" t="n">
        <f aca="false">IF(F52=0,0,E52/F52)</f>
        <v>0.652644923360609</v>
      </c>
      <c r="I52" s="0" t="str">
        <f aca="false">IF(H52&gt;=Summary!$C$12,"Yes","No")</f>
        <v>Yes</v>
      </c>
    </row>
    <row r="53" customFormat="false" ht="15" hidden="false" customHeight="false" outlineLevel="0" collapsed="false">
      <c r="A53" s="0" t="n">
        <f aca="false">RANK(H53,$H$4:$H$118,0)</f>
        <v>49</v>
      </c>
      <c r="B53" s="3" t="s">
        <v>140</v>
      </c>
      <c r="C53" s="3" t="s">
        <v>128</v>
      </c>
      <c r="D53" s="14" t="n">
        <v>33132</v>
      </c>
      <c r="E53" s="14" t="n">
        <v>21626</v>
      </c>
      <c r="F53" s="14" t="n">
        <v>33132</v>
      </c>
      <c r="G53" s="14" t="n">
        <v>244</v>
      </c>
      <c r="H53" s="20" t="n">
        <f aca="false">IF(F53=0,0,E53/F53)</f>
        <v>0.652722443559097</v>
      </c>
      <c r="I53" s="0" t="str">
        <f aca="false">IF(H53&gt;=Summary!$C$12,"Yes","No")</f>
        <v>Yes</v>
      </c>
    </row>
    <row r="54" customFormat="false" ht="15" hidden="false" customHeight="false" outlineLevel="0" collapsed="false">
      <c r="A54" s="0" t="n">
        <f aca="false">RANK(H54,$H$4:$H$118,0)</f>
        <v>51</v>
      </c>
      <c r="B54" s="3" t="s">
        <v>141</v>
      </c>
      <c r="C54" s="3" t="s">
        <v>67</v>
      </c>
      <c r="D54" s="14" t="n">
        <v>54264</v>
      </c>
      <c r="E54" s="14" t="n">
        <v>35385</v>
      </c>
      <c r="F54" s="14" t="n">
        <v>54264</v>
      </c>
      <c r="G54" s="14" t="n">
        <v>658</v>
      </c>
      <c r="H54" s="20" t="n">
        <f aca="false">IF(F54=0,0,E54/F54)</f>
        <v>0.652089783281734</v>
      </c>
      <c r="I54" s="0" t="str">
        <f aca="false">IF(H54&gt;=Summary!$C$12,"Yes","No")</f>
        <v>Yes</v>
      </c>
    </row>
    <row r="55" customFormat="false" ht="15" hidden="false" customHeight="false" outlineLevel="0" collapsed="false">
      <c r="A55" s="0" t="n">
        <f aca="false">RANK(H55,$H$4:$H$118,0)</f>
        <v>52</v>
      </c>
      <c r="B55" s="3" t="s">
        <v>142</v>
      </c>
      <c r="C55" s="3" t="s">
        <v>63</v>
      </c>
      <c r="D55" s="14" t="n">
        <v>133390</v>
      </c>
      <c r="E55" s="14" t="n">
        <v>86569</v>
      </c>
      <c r="F55" s="14" t="n">
        <v>133390</v>
      </c>
      <c r="G55" s="14" t="n">
        <v>1331</v>
      </c>
      <c r="H55" s="20" t="n">
        <f aca="false">IF(F55=0,0,E55/F55)</f>
        <v>0.648991678536622</v>
      </c>
      <c r="I55" s="0" t="str">
        <f aca="false">IF(H55&gt;=Summary!$C$12,"Yes","No")</f>
        <v>No</v>
      </c>
    </row>
    <row r="56" customFormat="false" ht="15" hidden="false" customHeight="false" outlineLevel="0" collapsed="false">
      <c r="A56" s="0" t="n">
        <f aca="false">RANK(H56,$H$4:$H$118,0)</f>
        <v>53</v>
      </c>
      <c r="B56" s="3" t="s">
        <v>143</v>
      </c>
      <c r="C56" s="3" t="s">
        <v>110</v>
      </c>
      <c r="D56" s="14" t="n">
        <v>55317</v>
      </c>
      <c r="E56" s="14" t="n">
        <v>35899</v>
      </c>
      <c r="F56" s="14" t="n">
        <v>55317</v>
      </c>
      <c r="G56" s="14" t="n">
        <v>839</v>
      </c>
      <c r="H56" s="20" t="n">
        <f aca="false">IF(F56=0,0,E56/F56)</f>
        <v>0.648968671475315</v>
      </c>
      <c r="I56" s="0" t="str">
        <f aca="false">IF(H56&gt;=Summary!$C$12,"Yes","No")</f>
        <v>No</v>
      </c>
    </row>
    <row r="57" customFormat="false" ht="15" hidden="false" customHeight="false" outlineLevel="0" collapsed="false">
      <c r="A57" s="0" t="n">
        <f aca="false">RANK(H57,$H$4:$H$118,0)</f>
        <v>54</v>
      </c>
      <c r="B57" s="3" t="s">
        <v>144</v>
      </c>
      <c r="C57" s="3" t="s">
        <v>145</v>
      </c>
      <c r="D57" s="14" t="n">
        <v>65401</v>
      </c>
      <c r="E57" s="14" t="n">
        <v>42333</v>
      </c>
      <c r="F57" s="14" t="n">
        <v>65401</v>
      </c>
      <c r="G57" s="14" t="n">
        <v>1197</v>
      </c>
      <c r="H57" s="20" t="n">
        <f aca="false">IF(F57=0,0,E57/F57)</f>
        <v>0.647283680677666</v>
      </c>
      <c r="I57" s="0" t="str">
        <f aca="false">IF(H57&gt;=Summary!$C$12,"Yes","No")</f>
        <v>No</v>
      </c>
    </row>
    <row r="58" customFormat="false" ht="15" hidden="false" customHeight="false" outlineLevel="0" collapsed="false">
      <c r="A58" s="0" t="n">
        <f aca="false">RANK(H58,$H$4:$H$118,0)</f>
        <v>55</v>
      </c>
      <c r="B58" s="3" t="s">
        <v>146</v>
      </c>
      <c r="C58" s="3" t="s">
        <v>128</v>
      </c>
      <c r="D58" s="14" t="n">
        <v>43666</v>
      </c>
      <c r="E58" s="14" t="n">
        <v>28254</v>
      </c>
      <c r="F58" s="14" t="n">
        <v>43666</v>
      </c>
      <c r="G58" s="14" t="n">
        <v>355</v>
      </c>
      <c r="H58" s="20" t="n">
        <f aca="false">IF(F58=0,0,E58/F58)</f>
        <v>0.647048046535062</v>
      </c>
      <c r="I58" s="0" t="str">
        <f aca="false">IF(H58&gt;=Summary!$C$12,"Yes","No")</f>
        <v>No</v>
      </c>
    </row>
    <row r="59" customFormat="false" ht="15" hidden="false" customHeight="false" outlineLevel="0" collapsed="false">
      <c r="A59" s="0" t="n">
        <f aca="false">RANK(H59,$H$4:$H$118,0)</f>
        <v>57</v>
      </c>
      <c r="B59" s="3" t="s">
        <v>147</v>
      </c>
      <c r="C59" s="3" t="s">
        <v>148</v>
      </c>
      <c r="D59" s="14" t="n">
        <v>48518</v>
      </c>
      <c r="E59" s="14" t="n">
        <v>31279</v>
      </c>
      <c r="F59" s="14" t="n">
        <v>48518</v>
      </c>
      <c r="G59" s="14" t="n">
        <v>1248</v>
      </c>
      <c r="H59" s="20" t="n">
        <f aca="false">IF(F59=0,0,E59/F59)</f>
        <v>0.644688569190816</v>
      </c>
      <c r="I59" s="0" t="str">
        <f aca="false">IF(H59&gt;=Summary!$C$12,"Yes","No")</f>
        <v>No</v>
      </c>
    </row>
    <row r="60" customFormat="false" ht="15" hidden="false" customHeight="false" outlineLevel="0" collapsed="false">
      <c r="A60" s="0" t="n">
        <f aca="false">RANK(H60,$H$4:$H$118,0)</f>
        <v>56</v>
      </c>
      <c r="B60" s="3" t="s">
        <v>149</v>
      </c>
      <c r="C60" s="3" t="s">
        <v>118</v>
      </c>
      <c r="D60" s="14" t="n">
        <v>30399</v>
      </c>
      <c r="E60" s="14" t="n">
        <v>19603</v>
      </c>
      <c r="F60" s="14" t="n">
        <v>30399</v>
      </c>
      <c r="G60" s="14" t="n">
        <v>383</v>
      </c>
      <c r="H60" s="20" t="n">
        <f aca="false">IF(F60=0,0,E60/F60)</f>
        <v>0.64485673870851</v>
      </c>
      <c r="I60" s="0" t="str">
        <f aca="false">IF(H60&gt;=Summary!$C$12,"Yes","No")</f>
        <v>No</v>
      </c>
    </row>
    <row r="61" customFormat="false" ht="15" hidden="false" customHeight="false" outlineLevel="0" collapsed="false">
      <c r="A61" s="0" t="n">
        <f aca="false">RANK(H61,$H$4:$H$118,0)</f>
        <v>59</v>
      </c>
      <c r="B61" s="3" t="s">
        <v>150</v>
      </c>
      <c r="C61" s="3" t="s">
        <v>67</v>
      </c>
      <c r="D61" s="14" t="n">
        <v>35302</v>
      </c>
      <c r="E61" s="14" t="n">
        <v>22690</v>
      </c>
      <c r="F61" s="14" t="n">
        <v>35302</v>
      </c>
      <c r="G61" s="14" t="n">
        <v>579</v>
      </c>
      <c r="H61" s="20" t="n">
        <f aca="false">IF(F61=0,0,E61/F61)</f>
        <v>0.642739788113988</v>
      </c>
      <c r="I61" s="0" t="str">
        <f aca="false">IF(H61&gt;=Summary!$C$12,"Yes","No")</f>
        <v>No</v>
      </c>
    </row>
    <row r="62" customFormat="false" ht="15" hidden="false" customHeight="false" outlineLevel="0" collapsed="false">
      <c r="A62" s="0" t="n">
        <f aca="false">RANK(H62,$H$4:$H$118,0)</f>
        <v>58</v>
      </c>
      <c r="B62" s="3" t="s">
        <v>151</v>
      </c>
      <c r="C62" s="3" t="s">
        <v>152</v>
      </c>
      <c r="D62" s="14" t="n">
        <v>23672</v>
      </c>
      <c r="E62" s="14" t="n">
        <v>15215</v>
      </c>
      <c r="F62" s="14" t="n">
        <v>23672</v>
      </c>
      <c r="G62" s="14" t="n">
        <v>79</v>
      </c>
      <c r="H62" s="20" t="n">
        <f aca="false">IF(F62=0,0,E62/F62)</f>
        <v>0.642742480567759</v>
      </c>
      <c r="I62" s="0" t="str">
        <f aca="false">IF(H62&gt;=Summary!$C$12,"Yes","No")</f>
        <v>No</v>
      </c>
    </row>
    <row r="63" customFormat="false" ht="15" hidden="false" customHeight="false" outlineLevel="0" collapsed="false">
      <c r="A63" s="0" t="n">
        <f aca="false">RANK(H63,$H$4:$H$118,0)</f>
        <v>60</v>
      </c>
      <c r="B63" s="3" t="s">
        <v>153</v>
      </c>
      <c r="C63" s="3" t="s">
        <v>128</v>
      </c>
      <c r="D63" s="14" t="n">
        <v>30603</v>
      </c>
      <c r="E63" s="14" t="n">
        <v>19650</v>
      </c>
      <c r="F63" s="14" t="n">
        <v>30603</v>
      </c>
      <c r="G63" s="14" t="n">
        <v>272</v>
      </c>
      <c r="H63" s="20" t="n">
        <f aca="false">IF(F63=0,0,E63/F63)</f>
        <v>0.642093912361533</v>
      </c>
      <c r="I63" s="0" t="str">
        <f aca="false">IF(H63&gt;=Summary!$C$12,"Yes","No")</f>
        <v>No</v>
      </c>
    </row>
    <row r="64" customFormat="false" ht="15" hidden="false" customHeight="false" outlineLevel="0" collapsed="false">
      <c r="A64" s="0" t="n">
        <f aca="false">RANK(H64,$H$4:$H$118,0)</f>
        <v>61</v>
      </c>
      <c r="B64" s="3" t="s">
        <v>154</v>
      </c>
      <c r="C64" s="3" t="s">
        <v>102</v>
      </c>
      <c r="D64" s="14" t="n">
        <v>39762</v>
      </c>
      <c r="E64" s="14" t="n">
        <v>25493</v>
      </c>
      <c r="F64" s="14" t="n">
        <v>39762</v>
      </c>
      <c r="G64" s="14" t="n">
        <v>569</v>
      </c>
      <c r="H64" s="20" t="n">
        <f aca="false">IF(F64=0,0,E64/F64)</f>
        <v>0.641139781701122</v>
      </c>
      <c r="I64" s="0" t="str">
        <f aca="false">IF(H64&gt;=Summary!$C$12,"Yes","No")</f>
        <v>No</v>
      </c>
    </row>
    <row r="65" customFormat="false" ht="15" hidden="false" customHeight="false" outlineLevel="0" collapsed="false">
      <c r="A65" s="0" t="n">
        <f aca="false">RANK(H65,$H$4:$H$118,0)</f>
        <v>63</v>
      </c>
      <c r="B65" s="3" t="s">
        <v>155</v>
      </c>
      <c r="C65" s="3" t="s">
        <v>82</v>
      </c>
      <c r="D65" s="14" t="n">
        <v>45663</v>
      </c>
      <c r="E65" s="14" t="n">
        <v>29234</v>
      </c>
      <c r="F65" s="14" t="n">
        <v>45663</v>
      </c>
      <c r="G65" s="14" t="n">
        <v>19</v>
      </c>
      <c r="H65" s="20" t="n">
        <f aca="false">IF(F65=0,0,E65/F65)</f>
        <v>0.64021198782384</v>
      </c>
      <c r="I65" s="0" t="str">
        <f aca="false">IF(H65&gt;=Summary!$C$12,"Yes","No")</f>
        <v>No</v>
      </c>
    </row>
    <row r="66" customFormat="false" ht="15" hidden="false" customHeight="false" outlineLevel="0" collapsed="false">
      <c r="A66" s="0" t="n">
        <f aca="false">RANK(H66,$H$4:$H$118,0)</f>
        <v>62</v>
      </c>
      <c r="B66" s="3" t="s">
        <v>156</v>
      </c>
      <c r="C66" s="3" t="s">
        <v>100</v>
      </c>
      <c r="D66" s="14" t="n">
        <v>81787</v>
      </c>
      <c r="E66" s="14" t="n">
        <v>52374</v>
      </c>
      <c r="F66" s="14" t="n">
        <v>81787</v>
      </c>
      <c r="G66" s="14" t="n">
        <v>778</v>
      </c>
      <c r="H66" s="20" t="n">
        <f aca="false">IF(F66=0,0,E66/F66)</f>
        <v>0.640370719062932</v>
      </c>
      <c r="I66" s="0" t="str">
        <f aca="false">IF(H66&gt;=Summary!$C$12,"Yes","No")</f>
        <v>No</v>
      </c>
    </row>
    <row r="67" customFormat="false" ht="15" hidden="false" customHeight="false" outlineLevel="0" collapsed="false">
      <c r="A67" s="0" t="n">
        <f aca="false">RANK(H67,$H$4:$H$118,0)</f>
        <v>65</v>
      </c>
      <c r="B67" s="3" t="s">
        <v>157</v>
      </c>
      <c r="C67" s="3" t="s">
        <v>158</v>
      </c>
      <c r="D67" s="14" t="n">
        <v>67127</v>
      </c>
      <c r="E67" s="14" t="n">
        <v>42742</v>
      </c>
      <c r="F67" s="14" t="n">
        <v>67127</v>
      </c>
      <c r="G67" s="14" t="n">
        <v>1730</v>
      </c>
      <c r="H67" s="20" t="n">
        <f aca="false">IF(F67=0,0,E67/F67)</f>
        <v>0.636733356175607</v>
      </c>
      <c r="I67" s="0" t="str">
        <f aca="false">IF(H67&gt;=Summary!$C$12,"Yes","No")</f>
        <v>No</v>
      </c>
    </row>
    <row r="68" customFormat="false" ht="15" hidden="false" customHeight="false" outlineLevel="0" collapsed="false">
      <c r="A68" s="0" t="n">
        <f aca="false">RANK(H68,$H$4:$H$118,0)</f>
        <v>64</v>
      </c>
      <c r="B68" s="3" t="s">
        <v>159</v>
      </c>
      <c r="C68" s="3" t="s">
        <v>100</v>
      </c>
      <c r="D68" s="14" t="n">
        <v>32993</v>
      </c>
      <c r="E68" s="14" t="n">
        <v>21024</v>
      </c>
      <c r="F68" s="14" t="n">
        <v>32993</v>
      </c>
      <c r="G68" s="14" t="n">
        <v>101</v>
      </c>
      <c r="H68" s="20" t="n">
        <f aca="false">IF(F68=0,0,E68/F68)</f>
        <v>0.637226078259025</v>
      </c>
      <c r="I68" s="0" t="str">
        <f aca="false">IF(H68&gt;=Summary!$C$12,"Yes","No")</f>
        <v>No</v>
      </c>
    </row>
    <row r="69" customFormat="false" ht="15" hidden="false" customHeight="false" outlineLevel="0" collapsed="false">
      <c r="A69" s="0" t="n">
        <f aca="false">RANK(H69,$H$4:$H$118,0)</f>
        <v>66</v>
      </c>
      <c r="B69" s="3" t="s">
        <v>160</v>
      </c>
      <c r="C69" s="3" t="s">
        <v>161</v>
      </c>
      <c r="D69" s="14" t="n">
        <v>33136</v>
      </c>
      <c r="E69" s="14" t="n">
        <v>21085</v>
      </c>
      <c r="F69" s="14" t="n">
        <v>33136</v>
      </c>
      <c r="G69" s="14" t="n">
        <v>357</v>
      </c>
      <c r="H69" s="20" t="n">
        <f aca="false">IF(F69=0,0,E69/F69)</f>
        <v>0.63631699661999</v>
      </c>
      <c r="I69" s="0" t="str">
        <f aca="false">IF(H69&gt;=Summary!$C$12,"Yes","No")</f>
        <v>No</v>
      </c>
    </row>
    <row r="70" customFormat="false" ht="15" hidden="false" customHeight="false" outlineLevel="0" collapsed="false">
      <c r="A70" s="0" t="n">
        <f aca="false">RANK(H70,$H$4:$H$118,0)</f>
        <v>68</v>
      </c>
      <c r="B70" s="3" t="s">
        <v>162</v>
      </c>
      <c r="C70" s="3" t="s">
        <v>161</v>
      </c>
      <c r="D70" s="14" t="n">
        <v>83187</v>
      </c>
      <c r="E70" s="14" t="n">
        <v>52810</v>
      </c>
      <c r="F70" s="14" t="n">
        <v>83187</v>
      </c>
      <c r="G70" s="14" t="n">
        <v>1589</v>
      </c>
      <c r="H70" s="20" t="n">
        <f aca="false">IF(F70=0,0,E70/F70)</f>
        <v>0.634834769855867</v>
      </c>
      <c r="I70" s="0" t="str">
        <f aca="false">IF(H70&gt;=Summary!$C$12,"Yes","No")</f>
        <v>No</v>
      </c>
    </row>
    <row r="71" customFormat="false" ht="15" hidden="false" customHeight="false" outlineLevel="0" collapsed="false">
      <c r="A71" s="0" t="n">
        <f aca="false">RANK(H71,$H$4:$H$118,0)</f>
        <v>67</v>
      </c>
      <c r="B71" s="3" t="s">
        <v>163</v>
      </c>
      <c r="C71" s="3" t="s">
        <v>148</v>
      </c>
      <c r="D71" s="14" t="n">
        <v>59683</v>
      </c>
      <c r="E71" s="14" t="n">
        <v>37901</v>
      </c>
      <c r="F71" s="14" t="n">
        <v>59683</v>
      </c>
      <c r="G71" s="14" t="n">
        <v>1166</v>
      </c>
      <c r="H71" s="20" t="n">
        <f aca="false">IF(F71=0,0,E71/F71)</f>
        <v>0.635038453160867</v>
      </c>
      <c r="I71" s="0" t="str">
        <f aca="false">IF(H71&gt;=Summary!$C$12,"Yes","No")</f>
        <v>No</v>
      </c>
    </row>
    <row r="72" customFormat="false" ht="15" hidden="false" customHeight="false" outlineLevel="0" collapsed="false">
      <c r="A72" s="0" t="n">
        <f aca="false">RANK(H72,$H$4:$H$118,0)</f>
        <v>69</v>
      </c>
      <c r="B72" s="3" t="s">
        <v>164</v>
      </c>
      <c r="C72" s="3" t="s">
        <v>90</v>
      </c>
      <c r="D72" s="14" t="n">
        <v>66997</v>
      </c>
      <c r="E72" s="14" t="n">
        <v>42462</v>
      </c>
      <c r="F72" s="14" t="n">
        <v>66997</v>
      </c>
      <c r="G72" s="14" t="n">
        <v>427</v>
      </c>
      <c r="H72" s="20" t="n">
        <f aca="false">IF(F72=0,0,E72/F72)</f>
        <v>0.633789572667433</v>
      </c>
      <c r="I72" s="0" t="str">
        <f aca="false">IF(H72&gt;=Summary!$C$12,"Yes","No")</f>
        <v>No</v>
      </c>
    </row>
    <row r="73" customFormat="false" ht="15" hidden="false" customHeight="false" outlineLevel="0" collapsed="false">
      <c r="A73" s="0" t="n">
        <f aca="false">RANK(H73,$H$4:$H$118,0)</f>
        <v>70</v>
      </c>
      <c r="B73" s="3" t="s">
        <v>165</v>
      </c>
      <c r="C73" s="3" t="s">
        <v>63</v>
      </c>
      <c r="D73" s="14" t="n">
        <v>74668</v>
      </c>
      <c r="E73" s="14" t="n">
        <v>47227</v>
      </c>
      <c r="F73" s="14" t="n">
        <v>74668</v>
      </c>
      <c r="G73" s="14" t="n">
        <v>1123</v>
      </c>
      <c r="H73" s="20" t="n">
        <f aca="false">IF(F73=0,0,E73/F73)</f>
        <v>0.632493169764826</v>
      </c>
      <c r="I73" s="0" t="str">
        <f aca="false">IF(H73&gt;=Summary!$C$12,"Yes","No")</f>
        <v>No</v>
      </c>
    </row>
    <row r="74" customFormat="false" ht="15" hidden="false" customHeight="false" outlineLevel="0" collapsed="false">
      <c r="A74" s="0" t="n">
        <f aca="false">RANK(H74,$H$4:$H$118,0)</f>
        <v>72</v>
      </c>
      <c r="B74" s="3" t="s">
        <v>166</v>
      </c>
      <c r="C74" s="3" t="s">
        <v>82</v>
      </c>
      <c r="D74" s="14" t="n">
        <v>65757</v>
      </c>
      <c r="E74" s="14" t="n">
        <v>41429</v>
      </c>
      <c r="F74" s="14" t="n">
        <v>65757</v>
      </c>
      <c r="G74" s="14" t="n">
        <v>346</v>
      </c>
      <c r="H74" s="20" t="n">
        <f aca="false">IF(F74=0,0,E74/F74)</f>
        <v>0.630031783688429</v>
      </c>
      <c r="I74" s="0" t="str">
        <f aca="false">IF(H74&gt;=Summary!$C$12,"Yes","No")</f>
        <v>No</v>
      </c>
    </row>
    <row r="75" customFormat="false" ht="15" hidden="false" customHeight="false" outlineLevel="0" collapsed="false">
      <c r="A75" s="0" t="n">
        <f aca="false">RANK(H75,$H$4:$H$118,0)</f>
        <v>73</v>
      </c>
      <c r="B75" s="3" t="s">
        <v>167</v>
      </c>
      <c r="C75" s="3" t="s">
        <v>168</v>
      </c>
      <c r="D75" s="14" t="n">
        <v>166330</v>
      </c>
      <c r="E75" s="14" t="n">
        <v>104780</v>
      </c>
      <c r="F75" s="14" t="n">
        <v>166330</v>
      </c>
      <c r="G75" s="14" t="n">
        <v>1534</v>
      </c>
      <c r="H75" s="20" t="n">
        <f aca="false">IF(F75=0,0,E75/F75)</f>
        <v>0.629952504058198</v>
      </c>
      <c r="I75" s="0" t="str">
        <f aca="false">IF(H75&gt;=Summary!$C$12,"Yes","No")</f>
        <v>No</v>
      </c>
    </row>
    <row r="76" customFormat="false" ht="15" hidden="false" customHeight="false" outlineLevel="0" collapsed="false">
      <c r="A76" s="0" t="n">
        <f aca="false">RANK(H76,$H$4:$H$118,0)</f>
        <v>71</v>
      </c>
      <c r="B76" s="3" t="s">
        <v>169</v>
      </c>
      <c r="C76" s="3" t="s">
        <v>65</v>
      </c>
      <c r="D76" s="14" t="n">
        <v>88213</v>
      </c>
      <c r="E76" s="14" t="n">
        <v>55578</v>
      </c>
      <c r="F76" s="14" t="n">
        <v>88213</v>
      </c>
      <c r="G76" s="14" t="n">
        <v>1590</v>
      </c>
      <c r="H76" s="20" t="n">
        <f aca="false">IF(F76=0,0,E76/F76)</f>
        <v>0.630043190912904</v>
      </c>
      <c r="I76" s="0" t="str">
        <f aca="false">IF(H76&gt;=Summary!$C$12,"Yes","No")</f>
        <v>No</v>
      </c>
    </row>
    <row r="77" customFormat="false" ht="15" hidden="false" customHeight="false" outlineLevel="0" collapsed="false">
      <c r="A77" s="0" t="n">
        <f aca="false">RANK(H77,$H$4:$H$118,0)</f>
        <v>74</v>
      </c>
      <c r="B77" s="3" t="s">
        <v>170</v>
      </c>
      <c r="C77" s="3" t="s">
        <v>171</v>
      </c>
      <c r="D77" s="14" t="n">
        <v>58435</v>
      </c>
      <c r="E77" s="14" t="n">
        <v>36772</v>
      </c>
      <c r="F77" s="14" t="n">
        <v>58435</v>
      </c>
      <c r="G77" s="14" t="n">
        <v>941</v>
      </c>
      <c r="H77" s="20" t="n">
        <f aca="false">IF(F77=0,0,E77/F77)</f>
        <v>0.629280397022333</v>
      </c>
      <c r="I77" s="0" t="str">
        <f aca="false">IF(H77&gt;=Summary!$C$12,"Yes","No")</f>
        <v>No</v>
      </c>
    </row>
    <row r="78" customFormat="false" ht="15" hidden="false" customHeight="false" outlineLevel="0" collapsed="false">
      <c r="A78" s="0" t="n">
        <f aca="false">RANK(H78,$H$4:$H$118,0)</f>
        <v>75</v>
      </c>
      <c r="B78" s="3" t="s">
        <v>172</v>
      </c>
      <c r="C78" s="3" t="s">
        <v>123</v>
      </c>
      <c r="D78" s="14" t="n">
        <v>70725</v>
      </c>
      <c r="E78" s="14" t="n">
        <v>44388</v>
      </c>
      <c r="F78" s="14" t="n">
        <v>70725</v>
      </c>
      <c r="G78" s="14" t="n">
        <v>1254</v>
      </c>
      <c r="H78" s="20" t="n">
        <f aca="false">IF(F78=0,0,E78/F78)</f>
        <v>0.627613997879109</v>
      </c>
      <c r="I78" s="0" t="str">
        <f aca="false">IF(H78&gt;=Summary!$C$12,"Yes","No")</f>
        <v>No</v>
      </c>
    </row>
    <row r="79" customFormat="false" ht="15" hidden="false" customHeight="false" outlineLevel="0" collapsed="false">
      <c r="A79" s="0" t="n">
        <f aca="false">RANK(H79,$H$4:$H$118,0)</f>
        <v>76</v>
      </c>
      <c r="B79" s="3" t="s">
        <v>173</v>
      </c>
      <c r="C79" s="3" t="s">
        <v>115</v>
      </c>
      <c r="D79" s="14" t="n">
        <v>21497</v>
      </c>
      <c r="E79" s="14" t="n">
        <v>13480</v>
      </c>
      <c r="F79" s="14" t="n">
        <v>21497</v>
      </c>
      <c r="G79" s="14" t="n">
        <v>243</v>
      </c>
      <c r="H79" s="20" t="n">
        <f aca="false">IF(F79=0,0,E79/F79)</f>
        <v>0.627064241522073</v>
      </c>
      <c r="I79" s="0" t="str">
        <f aca="false">IF(H79&gt;=Summary!$C$12,"Yes","No")</f>
        <v>No</v>
      </c>
    </row>
    <row r="80" customFormat="false" ht="15" hidden="false" customHeight="false" outlineLevel="0" collapsed="false">
      <c r="A80" s="0" t="n">
        <f aca="false">RANK(H80,$H$4:$H$118,0)</f>
        <v>77</v>
      </c>
      <c r="B80" s="3" t="s">
        <v>174</v>
      </c>
      <c r="C80" s="3" t="s">
        <v>139</v>
      </c>
      <c r="D80" s="14" t="n">
        <v>55602</v>
      </c>
      <c r="E80" s="14" t="n">
        <v>34808</v>
      </c>
      <c r="F80" s="14" t="n">
        <v>55602</v>
      </c>
      <c r="G80" s="14" t="n">
        <v>759</v>
      </c>
      <c r="H80" s="20" t="n">
        <f aca="false">IF(F80=0,0,E80/F80)</f>
        <v>0.626020646739326</v>
      </c>
      <c r="I80" s="0" t="str">
        <f aca="false">IF(H80&gt;=Summary!$C$12,"Yes","No")</f>
        <v>No</v>
      </c>
    </row>
    <row r="81" customFormat="false" ht="15" hidden="false" customHeight="false" outlineLevel="0" collapsed="false">
      <c r="A81" s="0" t="n">
        <f aca="false">RANK(H81,$H$4:$H$118,0)</f>
        <v>78</v>
      </c>
      <c r="B81" s="3" t="s">
        <v>175</v>
      </c>
      <c r="C81" s="3" t="s">
        <v>176</v>
      </c>
      <c r="D81" s="14" t="n">
        <v>33448</v>
      </c>
      <c r="E81" s="14" t="n">
        <v>20924</v>
      </c>
      <c r="F81" s="14" t="n">
        <v>33448</v>
      </c>
      <c r="G81" s="14" t="n">
        <v>878</v>
      </c>
      <c r="H81" s="20" t="n">
        <f aca="false">IF(F81=0,0,E81/F81)</f>
        <v>0.625568045922028</v>
      </c>
      <c r="I81" s="0" t="str">
        <f aca="false">IF(H81&gt;=Summary!$C$12,"Yes","No")</f>
        <v>No</v>
      </c>
    </row>
    <row r="82" customFormat="false" ht="15" hidden="false" customHeight="false" outlineLevel="0" collapsed="false">
      <c r="A82" s="0" t="n">
        <f aca="false">RANK(H82,$H$4:$H$118,0)</f>
        <v>79</v>
      </c>
      <c r="B82" s="3" t="s">
        <v>177</v>
      </c>
      <c r="C82" s="3" t="s">
        <v>128</v>
      </c>
      <c r="D82" s="14" t="n">
        <v>30585</v>
      </c>
      <c r="E82" s="14" t="n">
        <v>19108</v>
      </c>
      <c r="F82" s="14" t="n">
        <v>30585</v>
      </c>
      <c r="G82" s="14" t="n">
        <v>409</v>
      </c>
      <c r="H82" s="20" t="n">
        <f aca="false">IF(F82=0,0,E82/F82)</f>
        <v>0.624750694785025</v>
      </c>
      <c r="I82" s="0" t="str">
        <f aca="false">IF(H82&gt;=Summary!$C$12,"Yes","No")</f>
        <v>No</v>
      </c>
    </row>
    <row r="83" customFormat="false" ht="15" hidden="false" customHeight="false" outlineLevel="0" collapsed="false">
      <c r="A83" s="0" t="n">
        <f aca="false">RANK(H83,$H$4:$H$118,0)</f>
        <v>80</v>
      </c>
      <c r="B83" s="3" t="s">
        <v>178</v>
      </c>
      <c r="C83" s="3" t="s">
        <v>70</v>
      </c>
      <c r="D83" s="14" t="n">
        <v>121511</v>
      </c>
      <c r="E83" s="14" t="n">
        <v>75842</v>
      </c>
      <c r="F83" s="14" t="n">
        <v>121511</v>
      </c>
      <c r="G83" s="14" t="n">
        <v>1008</v>
      </c>
      <c r="H83" s="20" t="n">
        <f aca="false">IF(F83=0,0,E83/F83)</f>
        <v>0.624157483684605</v>
      </c>
      <c r="I83" s="0" t="str">
        <f aca="false">IF(H83&gt;=Summary!$C$12,"Yes","No")</f>
        <v>No</v>
      </c>
    </row>
    <row r="84" customFormat="false" ht="15" hidden="false" customHeight="false" outlineLevel="0" collapsed="false">
      <c r="A84" s="0" t="n">
        <f aca="false">RANK(H84,$H$4:$H$118,0)</f>
        <v>81</v>
      </c>
      <c r="B84" s="3" t="s">
        <v>179</v>
      </c>
      <c r="C84" s="3" t="s">
        <v>128</v>
      </c>
      <c r="D84" s="14" t="n">
        <v>60650</v>
      </c>
      <c r="E84" s="14" t="n">
        <v>37715</v>
      </c>
      <c r="F84" s="14" t="n">
        <v>60650</v>
      </c>
      <c r="G84" s="14" t="n">
        <v>560</v>
      </c>
      <c r="H84" s="20" t="n">
        <f aca="false">IF(F84=0,0,E84/F84)</f>
        <v>0.621846661170651</v>
      </c>
      <c r="I84" s="0" t="str">
        <f aca="false">IF(H84&gt;=Summary!$C$12,"Yes","No")</f>
        <v>No</v>
      </c>
    </row>
    <row r="85" customFormat="false" ht="15" hidden="false" customHeight="false" outlineLevel="0" collapsed="false">
      <c r="A85" s="0" t="n">
        <f aca="false">RANK(H85,$H$4:$H$118,0)</f>
        <v>84</v>
      </c>
      <c r="B85" s="3" t="s">
        <v>180</v>
      </c>
      <c r="C85" s="3" t="s">
        <v>108</v>
      </c>
      <c r="D85" s="14" t="n">
        <v>21841</v>
      </c>
      <c r="E85" s="14" t="n">
        <v>13563</v>
      </c>
      <c r="F85" s="14" t="n">
        <v>21841</v>
      </c>
      <c r="G85" s="14" t="n">
        <v>132</v>
      </c>
      <c r="H85" s="20" t="n">
        <f aca="false">IF(F85=0,0,E85/F85)</f>
        <v>0.620988049997711</v>
      </c>
      <c r="I85" s="0" t="str">
        <f aca="false">IF(H85&gt;=Summary!$C$12,"Yes","No")</f>
        <v>No</v>
      </c>
    </row>
    <row r="86" customFormat="false" ht="15" hidden="false" customHeight="false" outlineLevel="0" collapsed="false">
      <c r="A86" s="0" t="n">
        <f aca="false">RANK(H86,$H$4:$H$118,0)</f>
        <v>83</v>
      </c>
      <c r="B86" s="3" t="s">
        <v>181</v>
      </c>
      <c r="C86" s="3" t="s">
        <v>168</v>
      </c>
      <c r="D86" s="14" t="n">
        <v>37849</v>
      </c>
      <c r="E86" s="14" t="n">
        <v>23514</v>
      </c>
      <c r="F86" s="14" t="n">
        <v>37849</v>
      </c>
      <c r="G86" s="14" t="n">
        <v>374</v>
      </c>
      <c r="H86" s="20" t="n">
        <f aca="false">IF(F86=0,0,E86/F86)</f>
        <v>0.621258157414991</v>
      </c>
      <c r="I86" s="0" t="str">
        <f aca="false">IF(H86&gt;=Summary!$C$12,"Yes","No")</f>
        <v>No</v>
      </c>
    </row>
    <row r="87" customFormat="false" ht="15" hidden="false" customHeight="false" outlineLevel="0" collapsed="false">
      <c r="A87" s="0" t="n">
        <f aca="false">RANK(H87,$H$4:$H$118,0)</f>
        <v>85</v>
      </c>
      <c r="B87" s="3" t="s">
        <v>182</v>
      </c>
      <c r="C87" s="3" t="s">
        <v>176</v>
      </c>
      <c r="D87" s="14" t="n">
        <v>84499</v>
      </c>
      <c r="E87" s="14" t="n">
        <v>52454</v>
      </c>
      <c r="F87" s="14" t="n">
        <v>84499</v>
      </c>
      <c r="G87" s="14" t="n">
        <v>453</v>
      </c>
      <c r="H87" s="20" t="n">
        <f aca="false">IF(F87=0,0,E87/F87)</f>
        <v>0.620764742778021</v>
      </c>
      <c r="I87" s="0" t="str">
        <f aca="false">IF(H87&gt;=Summary!$C$12,"Yes","No")</f>
        <v>No</v>
      </c>
    </row>
    <row r="88" customFormat="false" ht="15" hidden="false" customHeight="false" outlineLevel="0" collapsed="false">
      <c r="A88" s="0" t="n">
        <f aca="false">RANK(H88,$H$4:$H$118,0)</f>
        <v>82</v>
      </c>
      <c r="B88" s="3" t="s">
        <v>183</v>
      </c>
      <c r="C88" s="3" t="s">
        <v>168</v>
      </c>
      <c r="D88" s="14" t="n">
        <v>33996</v>
      </c>
      <c r="E88" s="14" t="n">
        <v>21127</v>
      </c>
      <c r="F88" s="14" t="n">
        <v>33996</v>
      </c>
      <c r="G88" s="14" t="n">
        <v>232</v>
      </c>
      <c r="H88" s="20" t="n">
        <f aca="false">IF(F88=0,0,E88/F88)</f>
        <v>0.621455465348865</v>
      </c>
      <c r="I88" s="0" t="str">
        <f aca="false">IF(H88&gt;=Summary!$C$12,"Yes","No")</f>
        <v>No</v>
      </c>
    </row>
    <row r="89" customFormat="false" ht="15" hidden="false" customHeight="false" outlineLevel="0" collapsed="false">
      <c r="A89" s="0" t="n">
        <f aca="false">RANK(H89,$H$4:$H$118,0)</f>
        <v>86</v>
      </c>
      <c r="B89" s="3" t="s">
        <v>184</v>
      </c>
      <c r="C89" s="3" t="s">
        <v>74</v>
      </c>
      <c r="D89" s="14" t="n">
        <v>34098</v>
      </c>
      <c r="E89" s="14" t="n">
        <v>21151</v>
      </c>
      <c r="F89" s="14" t="n">
        <v>34098</v>
      </c>
      <c r="G89" s="14" t="n">
        <v>285</v>
      </c>
      <c r="H89" s="20" t="n">
        <f aca="false">IF(F89=0,0,E89/F89)</f>
        <v>0.620300310868673</v>
      </c>
      <c r="I89" s="0" t="str">
        <f aca="false">IF(H89&gt;=Summary!$C$12,"Yes","No")</f>
        <v>No</v>
      </c>
    </row>
    <row r="90" customFormat="false" ht="15" hidden="false" customHeight="false" outlineLevel="0" collapsed="false">
      <c r="A90" s="0" t="n">
        <f aca="false">RANK(H90,$H$4:$H$118,0)</f>
        <v>88</v>
      </c>
      <c r="B90" s="3" t="s">
        <v>185</v>
      </c>
      <c r="C90" s="3" t="s">
        <v>186</v>
      </c>
      <c r="D90" s="14" t="n">
        <v>93272</v>
      </c>
      <c r="E90" s="14" t="n">
        <v>57689</v>
      </c>
      <c r="F90" s="14" t="n">
        <v>93272</v>
      </c>
      <c r="G90" s="14" t="n">
        <v>1511</v>
      </c>
      <c r="H90" s="20" t="n">
        <f aca="false">IF(F90=0,0,E90/F90)</f>
        <v>0.618502873316751</v>
      </c>
      <c r="I90" s="0" t="str">
        <f aca="false">IF(H90&gt;=Summary!$C$12,"Yes","No")</f>
        <v>No</v>
      </c>
    </row>
    <row r="91" customFormat="false" ht="15" hidden="false" customHeight="false" outlineLevel="0" collapsed="false">
      <c r="A91" s="0" t="n">
        <f aca="false">RANK(H91,$H$4:$H$118,0)</f>
        <v>87</v>
      </c>
      <c r="B91" s="3" t="s">
        <v>187</v>
      </c>
      <c r="C91" s="3" t="s">
        <v>118</v>
      </c>
      <c r="D91" s="14" t="n">
        <v>50932</v>
      </c>
      <c r="E91" s="14" t="n">
        <v>31529</v>
      </c>
      <c r="F91" s="14" t="n">
        <v>50932</v>
      </c>
      <c r="G91" s="14" t="n">
        <v>599</v>
      </c>
      <c r="H91" s="20" t="n">
        <f aca="false">IF(F91=0,0,E91/F91)</f>
        <v>0.619041074373675</v>
      </c>
      <c r="I91" s="0" t="str">
        <f aca="false">IF(H91&gt;=Summary!$C$12,"Yes","No")</f>
        <v>No</v>
      </c>
    </row>
    <row r="92" customFormat="false" ht="15" hidden="false" customHeight="false" outlineLevel="0" collapsed="false">
      <c r="A92" s="0" t="n">
        <f aca="false">RANK(H92,$H$4:$H$118,0)</f>
        <v>89</v>
      </c>
      <c r="B92" s="3" t="s">
        <v>188</v>
      </c>
      <c r="C92" s="3" t="s">
        <v>126</v>
      </c>
      <c r="D92" s="14" t="n">
        <v>20841</v>
      </c>
      <c r="E92" s="14" t="n">
        <v>12890</v>
      </c>
      <c r="F92" s="14" t="n">
        <v>20841</v>
      </c>
      <c r="G92" s="14" t="n">
        <v>226</v>
      </c>
      <c r="H92" s="20" t="n">
        <f aca="false">IF(F92=0,0,E92/F92)</f>
        <v>0.618492394798714</v>
      </c>
      <c r="I92" s="0" t="str">
        <f aca="false">IF(H92&gt;=Summary!$C$12,"Yes","No")</f>
        <v>No</v>
      </c>
    </row>
    <row r="93" customFormat="false" ht="15" hidden="false" customHeight="false" outlineLevel="0" collapsed="false">
      <c r="A93" s="0" t="n">
        <f aca="false">RANK(H93,$H$4:$H$118,0)</f>
        <v>90</v>
      </c>
      <c r="B93" s="3" t="s">
        <v>189</v>
      </c>
      <c r="C93" s="3" t="s">
        <v>92</v>
      </c>
      <c r="D93" s="14" t="n">
        <v>52237</v>
      </c>
      <c r="E93" s="14" t="n">
        <v>32308</v>
      </c>
      <c r="F93" s="14" t="n">
        <v>52237</v>
      </c>
      <c r="G93" s="14" t="n">
        <v>995</v>
      </c>
      <c r="H93" s="20" t="n">
        <f aca="false">IF(F93=0,0,E93/F93)</f>
        <v>0.618488810613167</v>
      </c>
      <c r="I93" s="0" t="str">
        <f aca="false">IF(H93&gt;=Summary!$C$12,"Yes","No")</f>
        <v>No</v>
      </c>
    </row>
    <row r="94" customFormat="false" ht="15" hidden="false" customHeight="false" outlineLevel="0" collapsed="false">
      <c r="A94" s="0" t="n">
        <f aca="false">RANK(H94,$H$4:$H$118,0)</f>
        <v>91</v>
      </c>
      <c r="B94" s="3" t="s">
        <v>190</v>
      </c>
      <c r="C94" s="3" t="s">
        <v>186</v>
      </c>
      <c r="D94" s="14" t="n">
        <v>27038</v>
      </c>
      <c r="E94" s="14" t="n">
        <v>16722</v>
      </c>
      <c r="F94" s="14" t="n">
        <v>27038</v>
      </c>
      <c r="G94" s="14" t="n">
        <v>703</v>
      </c>
      <c r="H94" s="20" t="n">
        <f aca="false">IF(F94=0,0,E94/F94)</f>
        <v>0.618462904060951</v>
      </c>
      <c r="I94" s="0" t="str">
        <f aca="false">IF(H94&gt;=Summary!$C$12,"Yes","No")</f>
        <v>No</v>
      </c>
    </row>
    <row r="95" customFormat="false" ht="15" hidden="false" customHeight="false" outlineLevel="0" collapsed="false">
      <c r="A95" s="0" t="n">
        <f aca="false">RANK(H95,$H$4:$H$118,0)</f>
        <v>92</v>
      </c>
      <c r="B95" s="3" t="s">
        <v>191</v>
      </c>
      <c r="C95" s="3" t="s">
        <v>72</v>
      </c>
      <c r="D95" s="14" t="n">
        <v>39516</v>
      </c>
      <c r="E95" s="14" t="n">
        <v>24329</v>
      </c>
      <c r="F95" s="14" t="n">
        <v>39516</v>
      </c>
      <c r="G95" s="14" t="n">
        <v>811</v>
      </c>
      <c r="H95" s="20" t="n">
        <f aca="false">IF(F95=0,0,E95/F95)</f>
        <v>0.615674663427473</v>
      </c>
      <c r="I95" s="0" t="str">
        <f aca="false">IF(H95&gt;=Summary!$C$12,"Yes","No")</f>
        <v>No</v>
      </c>
    </row>
    <row r="96" customFormat="false" ht="15" hidden="false" customHeight="false" outlineLevel="0" collapsed="false">
      <c r="A96" s="0" t="n">
        <f aca="false">RANK(H96,$H$4:$H$118,0)</f>
        <v>93</v>
      </c>
      <c r="B96" s="3" t="s">
        <v>192</v>
      </c>
      <c r="C96" s="3" t="s">
        <v>87</v>
      </c>
      <c r="D96" s="14" t="n">
        <v>40284</v>
      </c>
      <c r="E96" s="14" t="n">
        <v>24793</v>
      </c>
      <c r="F96" s="14" t="n">
        <v>40284</v>
      </c>
      <c r="G96" s="14" t="n">
        <v>851</v>
      </c>
      <c r="H96" s="20" t="n">
        <f aca="false">IF(F96=0,0,E96/F96)</f>
        <v>0.61545526760004</v>
      </c>
      <c r="I96" s="0" t="str">
        <f aca="false">IF(H96&gt;=Summary!$C$12,"Yes","No")</f>
        <v>No</v>
      </c>
    </row>
    <row r="97" customFormat="false" ht="15" hidden="false" customHeight="false" outlineLevel="0" collapsed="false">
      <c r="A97" s="0" t="n">
        <f aca="false">RANK(H97,$H$4:$H$118,0)</f>
        <v>94</v>
      </c>
      <c r="B97" s="3" t="s">
        <v>193</v>
      </c>
      <c r="C97" s="3" t="s">
        <v>148</v>
      </c>
      <c r="D97" s="14" t="n">
        <v>53437</v>
      </c>
      <c r="E97" s="14" t="n">
        <v>32831</v>
      </c>
      <c r="F97" s="14" t="n">
        <v>53437</v>
      </c>
      <c r="G97" s="14" t="n">
        <v>1909</v>
      </c>
      <c r="H97" s="20" t="n">
        <f aca="false">IF(F97=0,0,E97/F97)</f>
        <v>0.614387035200329</v>
      </c>
      <c r="I97" s="0" t="str">
        <f aca="false">IF(H97&gt;=Summary!$C$12,"Yes","No")</f>
        <v>No</v>
      </c>
    </row>
    <row r="98" customFormat="false" ht="15" hidden="false" customHeight="false" outlineLevel="0" collapsed="false">
      <c r="A98" s="0" t="n">
        <f aca="false">RANK(H98,$H$4:$H$118,0)</f>
        <v>96</v>
      </c>
      <c r="B98" s="3" t="s">
        <v>194</v>
      </c>
      <c r="C98" s="3" t="s">
        <v>74</v>
      </c>
      <c r="D98" s="14" t="n">
        <v>29571</v>
      </c>
      <c r="E98" s="14" t="n">
        <v>18131</v>
      </c>
      <c r="F98" s="14" t="n">
        <v>29571</v>
      </c>
      <c r="G98" s="14" t="n">
        <v>349</v>
      </c>
      <c r="H98" s="20" t="n">
        <f aca="false">IF(F98=0,0,E98/F98)</f>
        <v>0.613134489871834</v>
      </c>
      <c r="I98" s="0" t="str">
        <f aca="false">IF(H98&gt;=Summary!$C$12,"Yes","No")</f>
        <v>No</v>
      </c>
    </row>
    <row r="99" customFormat="false" ht="15" hidden="false" customHeight="false" outlineLevel="0" collapsed="false">
      <c r="A99" s="0" t="n">
        <f aca="false">RANK(H99,$H$4:$H$118,0)</f>
        <v>95</v>
      </c>
      <c r="B99" s="3" t="s">
        <v>195</v>
      </c>
      <c r="C99" s="3" t="s">
        <v>171</v>
      </c>
      <c r="D99" s="14" t="n">
        <v>79184</v>
      </c>
      <c r="E99" s="14" t="n">
        <v>48578</v>
      </c>
      <c r="F99" s="14" t="n">
        <v>79184</v>
      </c>
      <c r="G99" s="14" t="n">
        <v>408</v>
      </c>
      <c r="H99" s="20" t="n">
        <f aca="false">IF(F99=0,0,E99/F99)</f>
        <v>0.61348252172156</v>
      </c>
      <c r="I99" s="0" t="str">
        <f aca="false">IF(H99&gt;=Summary!$C$12,"Yes","No")</f>
        <v>No</v>
      </c>
    </row>
    <row r="100" customFormat="false" ht="15" hidden="false" customHeight="false" outlineLevel="0" collapsed="false">
      <c r="A100" s="0" t="n">
        <f aca="false">RANK(H100,$H$4:$H$118,0)</f>
        <v>97</v>
      </c>
      <c r="B100" s="3" t="s">
        <v>196</v>
      </c>
      <c r="C100" s="3" t="s">
        <v>168</v>
      </c>
      <c r="D100" s="14" t="n">
        <v>44374</v>
      </c>
      <c r="E100" s="14" t="n">
        <v>27160</v>
      </c>
      <c r="F100" s="14" t="n">
        <v>44374</v>
      </c>
      <c r="G100" s="14" t="n">
        <v>887</v>
      </c>
      <c r="H100" s="20" t="n">
        <f aca="false">IF(F100=0,0,E100/F100)</f>
        <v>0.612070131157885</v>
      </c>
      <c r="I100" s="0" t="str">
        <f aca="false">IF(H100&gt;=Summary!$C$12,"Yes","No")</f>
        <v>No</v>
      </c>
    </row>
    <row r="101" customFormat="false" ht="15" hidden="false" customHeight="false" outlineLevel="0" collapsed="false">
      <c r="A101" s="0" t="n">
        <f aca="false">RANK(H101,$H$4:$H$118,0)</f>
        <v>98</v>
      </c>
      <c r="B101" s="3" t="s">
        <v>197</v>
      </c>
      <c r="C101" s="3" t="s">
        <v>198</v>
      </c>
      <c r="D101" s="14" t="n">
        <v>66833</v>
      </c>
      <c r="E101" s="14" t="n">
        <v>40877</v>
      </c>
      <c r="F101" s="14" t="n">
        <v>66833</v>
      </c>
      <c r="G101" s="14" t="n">
        <v>604</v>
      </c>
      <c r="H101" s="20" t="n">
        <f aca="false">IF(F101=0,0,E101/F101)</f>
        <v>0.611628985680727</v>
      </c>
      <c r="I101" s="0" t="str">
        <f aca="false">IF(H101&gt;=Summary!$C$12,"Yes","No")</f>
        <v>No</v>
      </c>
    </row>
    <row r="102" customFormat="false" ht="15" hidden="false" customHeight="false" outlineLevel="0" collapsed="false">
      <c r="A102" s="0" t="n">
        <f aca="false">RANK(H102,$H$4:$H$118,0)</f>
        <v>99</v>
      </c>
      <c r="B102" s="3" t="s">
        <v>199</v>
      </c>
      <c r="C102" s="3" t="s">
        <v>152</v>
      </c>
      <c r="D102" s="14" t="n">
        <v>39774</v>
      </c>
      <c r="E102" s="14" t="n">
        <v>24310</v>
      </c>
      <c r="F102" s="14" t="n">
        <v>39774</v>
      </c>
      <c r="G102" s="14" t="n">
        <v>470</v>
      </c>
      <c r="H102" s="20" t="n">
        <f aca="false">IF(F102=0,0,E102/F102)</f>
        <v>0.611203298637301</v>
      </c>
      <c r="I102" s="0" t="str">
        <f aca="false">IF(H102&gt;=Summary!$C$12,"Yes","No")</f>
        <v>No</v>
      </c>
    </row>
    <row r="103" customFormat="false" ht="15" hidden="false" customHeight="false" outlineLevel="0" collapsed="false">
      <c r="A103" s="0" t="n">
        <f aca="false">RANK(H103,$H$4:$H$118,0)</f>
        <v>100</v>
      </c>
      <c r="B103" s="3" t="s">
        <v>200</v>
      </c>
      <c r="C103" s="3" t="s">
        <v>201</v>
      </c>
      <c r="D103" s="14" t="n">
        <v>67753</v>
      </c>
      <c r="E103" s="14" t="n">
        <v>41212</v>
      </c>
      <c r="F103" s="14" t="n">
        <v>67753</v>
      </c>
      <c r="G103" s="14" t="n">
        <v>426</v>
      </c>
      <c r="H103" s="20" t="n">
        <f aca="false">IF(F103=0,0,E103/F103)</f>
        <v>0.608268268563754</v>
      </c>
      <c r="I103" s="0" t="str">
        <f aca="false">IF(H103&gt;=Summary!$C$12,"Yes","No")</f>
        <v>No</v>
      </c>
    </row>
    <row r="104" customFormat="false" ht="15" hidden="false" customHeight="false" outlineLevel="0" collapsed="false">
      <c r="A104" s="0" t="n">
        <f aca="false">RANK(H104,$H$4:$H$118,0)</f>
        <v>101</v>
      </c>
      <c r="B104" s="3" t="s">
        <v>202</v>
      </c>
      <c r="C104" s="3" t="s">
        <v>82</v>
      </c>
      <c r="D104" s="14" t="n">
        <v>72443</v>
      </c>
      <c r="E104" s="14" t="n">
        <v>43911</v>
      </c>
      <c r="F104" s="14" t="n">
        <v>72443</v>
      </c>
      <c r="G104" s="14" t="n">
        <v>1642</v>
      </c>
      <c r="H104" s="20" t="n">
        <f aca="false">IF(F104=0,0,E104/F104)</f>
        <v>0.606145521306406</v>
      </c>
      <c r="I104" s="0" t="str">
        <f aca="false">IF(H104&gt;=Summary!$C$12,"Yes","No")</f>
        <v>No</v>
      </c>
    </row>
    <row r="105" customFormat="false" ht="15" hidden="false" customHeight="false" outlineLevel="0" collapsed="false">
      <c r="A105" s="0" t="n">
        <f aca="false">RANK(H105,$H$4:$H$118,0)</f>
        <v>102</v>
      </c>
      <c r="B105" s="3" t="s">
        <v>203</v>
      </c>
      <c r="C105" s="3" t="s">
        <v>133</v>
      </c>
      <c r="D105" s="14" t="n">
        <v>88592</v>
      </c>
      <c r="E105" s="14" t="n">
        <v>53279</v>
      </c>
      <c r="F105" s="14" t="n">
        <v>88592</v>
      </c>
      <c r="G105" s="14" t="n">
        <v>276</v>
      </c>
      <c r="H105" s="20" t="n">
        <f aca="false">IF(F105=0,0,E105/F105)</f>
        <v>0.601397417374029</v>
      </c>
      <c r="I105" s="0" t="str">
        <f aca="false">IF(H105&gt;=Summary!$C$12,"Yes","No")</f>
        <v>No</v>
      </c>
    </row>
    <row r="106" customFormat="false" ht="15" hidden="false" customHeight="false" outlineLevel="0" collapsed="false">
      <c r="A106" s="0" t="n">
        <f aca="false">RANK(H106,$H$4:$H$118,0)</f>
        <v>103</v>
      </c>
      <c r="B106" s="3" t="s">
        <v>204</v>
      </c>
      <c r="C106" s="3" t="s">
        <v>87</v>
      </c>
      <c r="D106" s="14" t="n">
        <v>65167</v>
      </c>
      <c r="E106" s="14" t="n">
        <v>38725</v>
      </c>
      <c r="F106" s="14" t="n">
        <v>65167</v>
      </c>
      <c r="G106" s="14" t="n">
        <v>896</v>
      </c>
      <c r="H106" s="20" t="n">
        <f aca="false">IF(F106=0,0,E106/F106)</f>
        <v>0.594242484693173</v>
      </c>
      <c r="I106" s="0" t="str">
        <f aca="false">IF(H106&gt;=Summary!$C$12,"Yes","No")</f>
        <v>No</v>
      </c>
    </row>
    <row r="107" customFormat="false" ht="15" hidden="false" customHeight="false" outlineLevel="0" collapsed="false">
      <c r="A107" s="0" t="n">
        <f aca="false">RANK(H107,$H$4:$H$118,0)</f>
        <v>104</v>
      </c>
      <c r="B107" s="3" t="s">
        <v>205</v>
      </c>
      <c r="C107" s="3" t="s">
        <v>106</v>
      </c>
      <c r="D107" s="14" t="n">
        <v>71049</v>
      </c>
      <c r="E107" s="14" t="n">
        <v>42074</v>
      </c>
      <c r="F107" s="14" t="n">
        <v>71049</v>
      </c>
      <c r="G107" s="14" t="n">
        <v>1623</v>
      </c>
      <c r="H107" s="20" t="n">
        <f aca="false">IF(F107=0,0,E107/F107)</f>
        <v>0.592182859716534</v>
      </c>
      <c r="I107" s="0" t="str">
        <f aca="false">IF(H107&gt;=Summary!$C$12,"Yes","No")</f>
        <v>No</v>
      </c>
    </row>
    <row r="108" customFormat="false" ht="15" hidden="false" customHeight="false" outlineLevel="0" collapsed="false">
      <c r="A108" s="0" t="n">
        <f aca="false">RANK(H108,$H$4:$H$118,0)</f>
        <v>105</v>
      </c>
      <c r="B108" s="3" t="s">
        <v>206</v>
      </c>
      <c r="C108" s="3" t="s">
        <v>207</v>
      </c>
      <c r="D108" s="14" t="n">
        <v>113973</v>
      </c>
      <c r="E108" s="14" t="n">
        <v>67347</v>
      </c>
      <c r="F108" s="14" t="n">
        <v>113973</v>
      </c>
      <c r="G108" s="14" t="n">
        <v>2293</v>
      </c>
      <c r="H108" s="20" t="n">
        <f aca="false">IF(F108=0,0,E108/F108)</f>
        <v>0.590903108630992</v>
      </c>
      <c r="I108" s="0" t="str">
        <f aca="false">IF(H108&gt;=Summary!$C$12,"Yes","No")</f>
        <v>No</v>
      </c>
    </row>
    <row r="109" customFormat="false" ht="15" hidden="false" customHeight="false" outlineLevel="0" collapsed="false">
      <c r="A109" s="0" t="n">
        <f aca="false">RANK(H109,$H$4:$H$118,0)</f>
        <v>106</v>
      </c>
      <c r="B109" s="3" t="s">
        <v>208</v>
      </c>
      <c r="C109" s="3" t="s">
        <v>168</v>
      </c>
      <c r="D109" s="14" t="n">
        <v>129221</v>
      </c>
      <c r="E109" s="14" t="n">
        <v>76279</v>
      </c>
      <c r="F109" s="14" t="n">
        <v>129221</v>
      </c>
      <c r="G109" s="14" t="n">
        <v>3696</v>
      </c>
      <c r="H109" s="20" t="n">
        <f aca="false">IF(F109=0,0,E109/F109)</f>
        <v>0.590298790444278</v>
      </c>
      <c r="I109" s="0" t="str">
        <f aca="false">IF(H109&gt;=Summary!$C$12,"Yes","No")</f>
        <v>No</v>
      </c>
    </row>
    <row r="110" customFormat="false" ht="15" hidden="false" customHeight="false" outlineLevel="0" collapsed="false">
      <c r="A110" s="0" t="n">
        <f aca="false">RANK(H110,$H$4:$H$118,0)</f>
        <v>107</v>
      </c>
      <c r="B110" s="3" t="s">
        <v>209</v>
      </c>
      <c r="C110" s="3" t="s">
        <v>158</v>
      </c>
      <c r="D110" s="14" t="n">
        <v>25029</v>
      </c>
      <c r="E110" s="14" t="n">
        <v>14633</v>
      </c>
      <c r="F110" s="14" t="n">
        <v>25029</v>
      </c>
      <c r="G110" s="14" t="n">
        <v>326</v>
      </c>
      <c r="H110" s="20" t="n">
        <f aca="false">IF(F110=0,0,E110/F110)</f>
        <v>0.584641815494027</v>
      </c>
      <c r="I110" s="0" t="str">
        <f aca="false">IF(H110&gt;=Summary!$C$12,"Yes","No")</f>
        <v>No</v>
      </c>
    </row>
    <row r="111" customFormat="false" ht="15" hidden="false" customHeight="false" outlineLevel="0" collapsed="false">
      <c r="A111" s="0" t="n">
        <f aca="false">RANK(H111,$H$4:$H$118,0)</f>
        <v>108</v>
      </c>
      <c r="B111" s="3" t="s">
        <v>210</v>
      </c>
      <c r="C111" s="3" t="s">
        <v>85</v>
      </c>
      <c r="D111" s="14" t="n">
        <v>42670</v>
      </c>
      <c r="E111" s="14" t="n">
        <v>24626</v>
      </c>
      <c r="F111" s="14" t="n">
        <v>42670</v>
      </c>
      <c r="G111" s="14" t="n">
        <v>788</v>
      </c>
      <c r="H111" s="20" t="n">
        <f aca="false">IF(F111=0,0,E111/F111)</f>
        <v>0.577126786969768</v>
      </c>
      <c r="I111" s="0" t="str">
        <f aca="false">IF(H111&gt;=Summary!$C$12,"Yes","No")</f>
        <v>No</v>
      </c>
    </row>
    <row r="112" customFormat="false" ht="15" hidden="false" customHeight="false" outlineLevel="0" collapsed="false">
      <c r="A112" s="0" t="n">
        <f aca="false">RANK(H112,$H$4:$H$118,0)</f>
        <v>109</v>
      </c>
      <c r="B112" s="3" t="s">
        <v>211</v>
      </c>
      <c r="C112" s="3" t="s">
        <v>72</v>
      </c>
      <c r="D112" s="14" t="n">
        <v>54965</v>
      </c>
      <c r="E112" s="14" t="n">
        <v>31097</v>
      </c>
      <c r="F112" s="14" t="n">
        <v>54965</v>
      </c>
      <c r="G112" s="14" t="n">
        <v>986</v>
      </c>
      <c r="H112" s="20" t="n">
        <f aca="false">IF(F112=0,0,E112/F112)</f>
        <v>0.565760029109433</v>
      </c>
      <c r="I112" s="0" t="str">
        <f aca="false">IF(H112&gt;=Summary!$C$12,"Yes","No")</f>
        <v>No</v>
      </c>
    </row>
    <row r="113" customFormat="false" ht="15" hidden="false" customHeight="false" outlineLevel="0" collapsed="false">
      <c r="A113" s="0" t="n">
        <f aca="false">RANK(H113,$H$4:$H$118,0)</f>
        <v>110</v>
      </c>
      <c r="B113" s="3" t="s">
        <v>212</v>
      </c>
      <c r="C113" s="3" t="s">
        <v>74</v>
      </c>
      <c r="D113" s="14" t="n">
        <v>79216</v>
      </c>
      <c r="E113" s="14" t="n">
        <v>44742</v>
      </c>
      <c r="F113" s="14" t="n">
        <v>79216</v>
      </c>
      <c r="G113" s="14" t="n">
        <v>1848</v>
      </c>
      <c r="H113" s="20" t="n">
        <f aca="false">IF(F113=0,0,E113/F113)</f>
        <v>0.564810139365785</v>
      </c>
      <c r="I113" s="0" t="str">
        <f aca="false">IF(H113&gt;=Summary!$C$12,"Yes","No")</f>
        <v>No</v>
      </c>
    </row>
    <row r="114" customFormat="false" ht="15" hidden="false" customHeight="false" outlineLevel="0" collapsed="false">
      <c r="A114" s="0" t="n">
        <f aca="false">RANK(H114,$H$4:$H$118,0)</f>
        <v>111</v>
      </c>
      <c r="B114" s="3" t="s">
        <v>213</v>
      </c>
      <c r="C114" s="3" t="s">
        <v>72</v>
      </c>
      <c r="D114" s="14" t="n">
        <v>80999</v>
      </c>
      <c r="E114" s="14" t="n">
        <v>45611</v>
      </c>
      <c r="F114" s="14" t="n">
        <v>80999</v>
      </c>
      <c r="G114" s="14" t="n">
        <v>2796</v>
      </c>
      <c r="H114" s="20" t="n">
        <f aca="false">IF(F114=0,0,E114/F114)</f>
        <v>0.563105717354535</v>
      </c>
      <c r="I114" s="0" t="str">
        <f aca="false">IF(H114&gt;=Summary!$C$12,"Yes","No")</f>
        <v>No</v>
      </c>
    </row>
    <row r="115" customFormat="false" ht="15" hidden="false" customHeight="false" outlineLevel="0" collapsed="false">
      <c r="A115" s="0" t="n">
        <f aca="false">RANK(H115,$H$4:$H$118,0)</f>
        <v>112</v>
      </c>
      <c r="B115" s="3" t="s">
        <v>214</v>
      </c>
      <c r="C115" s="3" t="s">
        <v>158</v>
      </c>
      <c r="D115" s="14" t="n">
        <v>32827</v>
      </c>
      <c r="E115" s="14" t="n">
        <v>18217</v>
      </c>
      <c r="F115" s="14" t="n">
        <v>32827</v>
      </c>
      <c r="G115" s="14" t="n">
        <v>1305</v>
      </c>
      <c r="H115" s="20" t="n">
        <f aca="false">IF(F115=0,0,E115/F115)</f>
        <v>0.55493953148323</v>
      </c>
      <c r="I115" s="0" t="str">
        <f aca="false">IF(H115&gt;=Summary!$C$12,"Yes","No")</f>
        <v>No</v>
      </c>
    </row>
    <row r="116" customFormat="false" ht="15" hidden="false" customHeight="false" outlineLevel="0" collapsed="false">
      <c r="A116" s="0" t="n">
        <f aca="false">RANK(H116,$H$4:$H$118,0)</f>
        <v>113</v>
      </c>
      <c r="B116" s="3" t="s">
        <v>215</v>
      </c>
      <c r="C116" s="3" t="s">
        <v>126</v>
      </c>
      <c r="D116" s="14" t="n">
        <v>112535</v>
      </c>
      <c r="E116" s="14" t="n">
        <v>62009</v>
      </c>
      <c r="F116" s="14" t="n">
        <v>112535</v>
      </c>
      <c r="G116" s="14" t="n">
        <v>3580</v>
      </c>
      <c r="H116" s="20" t="n">
        <f aca="false">IF(F116=0,0,E116/F116)</f>
        <v>0.551019682765362</v>
      </c>
      <c r="I116" s="0" t="str">
        <f aca="false">IF(H116&gt;=Summary!$C$12,"Yes","No")</f>
        <v>No</v>
      </c>
    </row>
    <row r="117" customFormat="false" ht="15" hidden="false" customHeight="false" outlineLevel="0" collapsed="false">
      <c r="A117" s="0" t="n">
        <f aca="false">RANK(H117,$H$4:$H$118,0)</f>
        <v>114</v>
      </c>
      <c r="B117" s="3" t="s">
        <v>216</v>
      </c>
      <c r="C117" s="3" t="s">
        <v>104</v>
      </c>
      <c r="D117" s="14" t="n">
        <v>23933</v>
      </c>
      <c r="E117" s="14" t="n">
        <v>12533</v>
      </c>
      <c r="F117" s="14" t="n">
        <v>23933</v>
      </c>
      <c r="G117" s="14" t="n">
        <v>2814</v>
      </c>
      <c r="H117" s="20" t="n">
        <f aca="false">IF(F117=0,0,E117/F117)</f>
        <v>0.523670246103706</v>
      </c>
      <c r="I117" s="0" t="str">
        <f aca="false">IF(H117&gt;=Summary!$C$12,"Yes","No")</f>
        <v>No</v>
      </c>
    </row>
    <row r="118" customFormat="false" ht="15" hidden="false" customHeight="false" outlineLevel="0" collapsed="false">
      <c r="A118" s="0" t="n">
        <f aca="false">RANK(H118,$H$4:$H$118,0)</f>
        <v>115</v>
      </c>
      <c r="B118" s="3" t="s">
        <v>217</v>
      </c>
      <c r="C118" s="3" t="s">
        <v>218</v>
      </c>
      <c r="D118" s="14" t="n">
        <v>173977</v>
      </c>
      <c r="E118" s="14" t="n">
        <v>88038</v>
      </c>
      <c r="F118" s="14" t="n">
        <v>173977</v>
      </c>
      <c r="G118" s="14" t="n">
        <v>12150</v>
      </c>
      <c r="H118" s="20" t="n">
        <f aca="false">IF(F118=0,0,E118/F118)</f>
        <v>0.506032406582479</v>
      </c>
      <c r="I118" s="0" t="str">
        <f aca="false">IF(H118&gt;=Summary!$C$12,"Yes","No")</f>
        <v>No</v>
      </c>
    </row>
  </sheetData>
  <conditionalFormatting sqref="H4:H118">
    <cfRule type="dataBar" priority="2">
      <dataBar showValue="1" minLength="10" maxLength="90">
        <cfvo type="num" val="0"/>
        <cfvo type="num" val="1"/>
        <color rgb="FF2A78D6"/>
      </dataBar>
      <extLst>
        <ext xmlns:x14="http://schemas.microsoft.com/office/spreadsheetml/2009/9/main" uri="{B025F937-C7B1-47D3-B67F-A62EFF666E3E}">
          <x14:id>{FE1630D7-361E-4831-B6FF-27E5D5F3A116}</x14:id>
        </ext>
      </extLst>
    </cfRule>
  </conditionalFormatting>
  <conditionalFormatting sqref="I4:I118">
    <cfRule type="cellIs" priority="3" operator="equal" aboveAverage="0" equalAverage="0" bottom="0" percent="0" rank="0" text="" dxfId="1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1630D7-361E-4831-B6FF-27E5D5F3A11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A78D6"/>
              <x14:axisColor rgb="FF000000"/>
            </x14:dataBar>
          </x14:cfRule>
          <xm:sqref>H4:H118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2026-09-30T12:03:18Z</dcterms:created>
  <dc:creator>openpyxl</dc:creator>
  <dc:description/>
  <dc:language>en-US</dc:language>
  <cp:lastModifiedBy/>
  <dcterms:modified xsi:type="dcterms:W3CDTF">2026-09-30T13:03:19Z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